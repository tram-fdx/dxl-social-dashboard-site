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<sst xmlns="http://schemas.openxmlformats.org/spreadsheetml/2006/main" count="215" uniqueCount="97">
  <si>
    <t xml:space="preserve">DX Living — dữ liệu báo cáo theo ngày</t>
  </si>
  <si>
    <t xml:space="preserve">Xuất ngày 2026-10-02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</si>
  <si>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</si>
  <si>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</si>
  <si>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</si>
  <si>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</si>
  <si>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</si>
  <si>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</si>
  <si>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</si>
  <si>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</si>
  <si>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</si>
  <si>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</si>
  <si>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</si>
  <si>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</si>
  <si>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</si>
  <si>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</si>
  <si>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</si>
  <si>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</si>
  <si>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</si>
  <si>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</si>
  <si>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</si>
  <si>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</si>
  <si>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</si>
  <si>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88 dòng × 7 chỉ số · 2026-07-05 → 2026-09-30</t>
  </si>
  <si>
    <t xml:space="preserve">Social — 28 ngày</t>
  </si>
  <si>
    <t xml:space="preserve">51 dòng × 14 chỉ số · 2026-07-23 → 2026-10-02</t>
  </si>
  <si>
    <t xml:space="preserve">SEO</t>
  </si>
  <si>
    <t xml:space="preserve">51 dòng × 14 chỉ số · 2026-06-30 → 2026-10-02</t>
  </si>
  <si>
    <t xml:space="preserve">Audit</t>
  </si>
  <si>
    <t xml:space="preserve">48 dòng × 11 chỉ số · 2026-07-27 → 2026-10-02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</si>
  <si>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</si>
  <si>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88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</si>
  <si>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</si>
  <si>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</si>
  <si>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</si>
  <si>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</si>
  <si>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</si>
  <si>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</si>
  <si>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</si>
  <si>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</si>
  <si>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</si>
  <si>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</si>
  <si>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51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</si>
  <si>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</si>
  <si>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</si>
  <si>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</si>
  <si>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</si>
  <si>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</si>
  <si>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</si>
  <si>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</si>
  <si>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</si>
  <si>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</si>
  <si>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</si>
  <si>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</si>
  <si>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</si>
  <si>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</si>
  <si>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</si>
  <si>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</si>
  <si>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51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</si>
  <si>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</si>
  <si>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</si>
  <si>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</si>
  <si>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</si>
  <si>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</si>
  <si>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</si>
  <si>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</si>
  <si>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</si>
  <si>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</si>
  <si>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</si>
  <si>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</si>
  <si>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</si>
  <si>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</si>
  <si>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</si>
  <si>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</si>
  <si>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48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</si>
  <si>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</si>
  <si>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</si>
  <si>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</si>
  <si>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</si>
  <si>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</si>
  <si>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</si>
  <si>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</si>
  <si>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</si>
  <si>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</si>
  <si>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</si>
  <si>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</si>
  <si>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</si>
  <si>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</si>
  <si>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</si>
  <si>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</si>
  <si>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</si>
  <si>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</si>
  <si>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KHÔNG CỘNG — Social — 28 ngày (lấy ngày quét cuối tháng)</t>
  </si>
  <si>
    <t xml:space="preserve">2026-10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</si>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</sst>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  <row r="87" customFormat="false" ht="15" hidden="false" customHeight="false" outlineLevel="0" collapsed="false">
      <c r="A87" s="15" t="n">
        <v>46289</v>
      </c>
      <c r="B87" s="16" t="n">
        <v>6</v>
      </c>
      <c r="C87" s="16" t="n">
        <v>2</v>
      </c>
      <c r="D87" s="16" t="n">
        <v>124</v>
      </c>
      <c r="E87" s="16" t="n">
        <v>16</v>
      </c>
      <c r="F87" s="16" t="n">
        <v>0</v>
      </c>
      <c r="G87" s="16" t="n">
        <v>2</v>
      </c>
      <c r="H87" s="16" t="n">
        <v>29</v>
      </c>
    </row>
    <row r="88" customFormat="false" ht="15" hidden="false" customHeight="false" outlineLevel="0" collapsed="false">
      <c r="A88" s="15" t="n">
        <v>46290</v>
      </c>
      <c r="B88" s="16" t="n">
        <v>9</v>
      </c>
      <c r="C88" s="16" t="n">
        <v>0</v>
      </c>
      <c r="D88" s="16" t="n">
        <v>130</v>
      </c>
      <c r="E88" s="16" t="n">
        <v>7</v>
      </c>
      <c r="F88" s="16" t="n">
        <v>4</v>
      </c>
      <c r="G88" s="16" t="n">
        <v>6</v>
      </c>
      <c r="H88" s="16" t="n">
        <v>29</v>
      </c>
    </row>
    <row r="89" customFormat="false" ht="15" hidden="false" customHeight="false" outlineLevel="0" collapsed="false">
      <c r="A89" s="15" t="n">
        <v>46291</v>
      </c>
      <c r="B89" s="16" t="n">
        <v>2</v>
      </c>
      <c r="C89" s="16" t="n">
        <v>0</v>
      </c>
      <c r="D89" s="16" t="n">
        <v>51</v>
      </c>
      <c r="E89" s="16" t="n">
        <v>9</v>
      </c>
      <c r="F89" s="16" t="n">
        <v>0</v>
      </c>
      <c r="G89" s="16" t="n">
        <v>0</v>
      </c>
      <c r="H89" s="16" t="n">
        <v>5</v>
      </c>
    </row>
    <row r="90" customFormat="false" ht="15" hidden="false" customHeight="false" outlineLevel="0" collapsed="false">
      <c r="A90" s="15" t="n">
        <v>46292</v>
      </c>
      <c r="B90" s="16" t="n">
        <v>0</v>
      </c>
      <c r="C90" s="16" t="n">
        <v>3</v>
      </c>
      <c r="D90" s="16" t="n">
        <v>65</v>
      </c>
      <c r="E90" s="16" t="n">
        <v>4</v>
      </c>
      <c r="F90" s="16" t="n">
        <v>0</v>
      </c>
      <c r="G90" s="16" t="n">
        <v>1</v>
      </c>
      <c r="H90" s="16" t="n">
        <v>8</v>
      </c>
    </row>
    <row r="91" customFormat="false" ht="15" hidden="false" customHeight="false" outlineLevel="0" collapsed="false">
      <c r="A91" s="15" t="n">
        <v>46293</v>
      </c>
      <c r="B91" s="16" t="n">
        <v>6</v>
      </c>
      <c r="C91" s="16" t="n">
        <v>3</v>
      </c>
      <c r="D91" s="16" t="n">
        <v>180</v>
      </c>
      <c r="E91" s="16" t="n">
        <v>6</v>
      </c>
      <c r="F91" s="16" t="n">
        <v>3</v>
      </c>
      <c r="G91" s="16" t="n">
        <v>4</v>
      </c>
      <c r="H91" s="16" t="n">
        <v>30</v>
      </c>
    </row>
    <row r="92" customFormat="false" ht="15" hidden="false" customHeight="false" outlineLevel="0" collapsed="false">
      <c r="A92" s="15" t="n">
        <v>46294</v>
      </c>
      <c r="B92" s="16" t="n">
        <v>4</v>
      </c>
      <c r="C92" s="16" t="n">
        <v>0</v>
      </c>
      <c r="D92" s="16" t="n">
        <v>95</v>
      </c>
      <c r="E92" s="16" t="n">
        <v>0</v>
      </c>
      <c r="F92" s="16" t="n">
        <v>3</v>
      </c>
      <c r="G92" s="16" t="n">
        <v>6</v>
      </c>
      <c r="H92" s="16" t="n">
        <v>60</v>
      </c>
    </row>
    <row r="93" customFormat="false" ht="15" hidden="false" customHeight="false" outlineLevel="0" collapsed="false">
      <c r="A93" s="15" t="n">
        <v>46295</v>
      </c>
      <c r="B93" s="16" t="n">
        <v>15</v>
      </c>
      <c r="C93" s="16" t="n">
        <v>1</v>
      </c>
      <c r="D93" s="16" t="n">
        <v>162</v>
      </c>
      <c r="E93" s="16" t="n">
        <v>3</v>
      </c>
      <c r="F93" s="16" t="n">
        <v>2</v>
      </c>
      <c r="G93" s="16" t="n">
        <v>8</v>
      </c>
      <c r="H93" s="16" t="n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  <row r="51" customFormat="false" ht="15" hidden="false" customHeight="false" outlineLevel="0" collapsed="false">
      <c r="A51" s="15" t="n">
        <v>46291</v>
      </c>
      <c r="B51" s="16" t="n">
        <v>116</v>
      </c>
      <c r="C51" s="16" t="n">
        <v>140</v>
      </c>
      <c r="D51" s="16" t="n">
        <v>4509</v>
      </c>
      <c r="E51" s="16" t="n">
        <v>433</v>
      </c>
      <c r="F51" s="16" t="n">
        <v>49</v>
      </c>
      <c r="G51" s="16" t="n">
        <v>15</v>
      </c>
      <c r="H51" s="16" t="n">
        <v>86</v>
      </c>
      <c r="I51" s="16" t="n">
        <v>2397</v>
      </c>
      <c r="J51" s="16" t="n">
        <v>102</v>
      </c>
      <c r="K51" s="16" t="n">
        <v>1229</v>
      </c>
      <c r="L51" s="16" t="n">
        <v>28</v>
      </c>
      <c r="M51" s="16" t="n">
        <v>44</v>
      </c>
      <c r="N51" s="16" t="n">
        <v>4</v>
      </c>
      <c r="O51" s="16" t="n">
        <v>634</v>
      </c>
    </row>
    <row r="52" customFormat="false" ht="15" hidden="false" customHeight="false" outlineLevel="0" collapsed="false">
      <c r="A52" s="15" t="n">
        <v>46293</v>
      </c>
      <c r="B52" s="16" t="n">
        <v>116</v>
      </c>
      <c r="C52" s="16" t="n">
        <v>144</v>
      </c>
      <c r="D52" s="16" t="n">
        <v>4483</v>
      </c>
      <c r="E52" s="16" t="n">
        <v>445</v>
      </c>
      <c r="F52" s="16" t="n">
        <v>49</v>
      </c>
      <c r="G52" s="16" t="n">
        <v>18</v>
      </c>
      <c r="H52" s="16" t="n">
        <v>87</v>
      </c>
      <c r="I52" s="16" t="n">
        <v>2320</v>
      </c>
      <c r="J52" s="16" t="n">
        <v>102</v>
      </c>
      <c r="K52" s="16" t="n">
        <v>1232</v>
      </c>
      <c r="L52" s="16" t="n">
        <v>27</v>
      </c>
      <c r="M52" s="16" t="n">
        <v>43</v>
      </c>
      <c r="N52" s="16" t="n">
        <v>4</v>
      </c>
      <c r="O52" s="16" t="n">
        <v>634</v>
      </c>
    </row>
    <row r="53" customFormat="false" ht="15" hidden="false" customHeight="false" outlineLevel="0" collapsed="false">
      <c r="A53" s="15" t="n">
        <v>46294</v>
      </c>
      <c r="B53" s="16" t="n">
        <v>116</v>
      </c>
      <c r="C53" s="16" t="n">
        <v>138</v>
      </c>
      <c r="D53" s="16" t="n">
        <v>4496</v>
      </c>
      <c r="E53" s="16" t="n">
        <v>442</v>
      </c>
      <c r="F53" s="16" t="n">
        <v>49</v>
      </c>
      <c r="G53" s="16" t="n">
        <v>17</v>
      </c>
      <c r="H53" s="16" t="n">
        <v>87</v>
      </c>
      <c r="I53" s="16" t="n">
        <v>2287</v>
      </c>
      <c r="J53" s="16" t="n">
        <v>102</v>
      </c>
      <c r="K53" s="16" t="n">
        <v>1210</v>
      </c>
      <c r="L53" s="16" t="n">
        <v>24</v>
      </c>
      <c r="M53" s="16" t="n">
        <v>38</v>
      </c>
      <c r="N53" s="16" t="n">
        <v>4</v>
      </c>
      <c r="O53" s="16" t="n">
        <v>634</v>
      </c>
    </row>
    <row r="54" customFormat="false" ht="15" hidden="false" customHeight="false" outlineLevel="0" collapsed="false">
      <c r="A54" s="15" t="n">
        <v>46295</v>
      </c>
      <c r="B54" s="16" t="n">
        <v>116</v>
      </c>
      <c r="C54" s="16" t="n">
        <v>141</v>
      </c>
      <c r="D54" s="16" t="n">
        <v>4519</v>
      </c>
      <c r="E54" s="16" t="n">
        <v>422</v>
      </c>
      <c r="F54" s="16" t="n">
        <v>49</v>
      </c>
      <c r="G54" s="16" t="n">
        <v>20</v>
      </c>
      <c r="H54" s="16" t="n">
        <v>87</v>
      </c>
      <c r="I54" s="16" t="n">
        <v>2258</v>
      </c>
      <c r="J54" s="16" t="n">
        <v>102</v>
      </c>
      <c r="K54" s="16" t="n">
        <v>1193</v>
      </c>
      <c r="L54" s="16" t="n">
        <v>24</v>
      </c>
      <c r="M54" s="16" t="n">
        <v>36</v>
      </c>
      <c r="N54" s="16" t="n">
        <v>4</v>
      </c>
      <c r="O54" s="16" t="n">
        <v>634</v>
      </c>
    </row>
    <row r="55" customFormat="false" ht="15" hidden="false" customHeight="false" outlineLevel="0" collapsed="false">
      <c r="A55" s="15" t="n">
        <v>46296</v>
      </c>
      <c r="B55" s="16" t="n">
        <v>116</v>
      </c>
      <c r="C55" s="16" t="n">
        <v>132</v>
      </c>
      <c r="D55" s="16" t="n">
        <v>4427</v>
      </c>
      <c r="E55" s="16" t="n">
        <v>421</v>
      </c>
      <c r="F55" s="16" t="n">
        <v>49</v>
      </c>
      <c r="G55" s="16" t="n">
        <v>23</v>
      </c>
      <c r="H55" s="16" t="n">
        <v>87</v>
      </c>
      <c r="I55" s="16" t="n">
        <v>2297</v>
      </c>
      <c r="J55" s="16" t="n">
        <v>102</v>
      </c>
      <c r="K55" s="16" t="n">
        <v>1219</v>
      </c>
      <c r="L55" s="16" t="n">
        <v>26</v>
      </c>
      <c r="M55" s="16" t="n">
        <v>37</v>
      </c>
      <c r="N55" s="16"/>
      <c r="O55" s="16"/>
    </row>
    <row r="56" customFormat="false" ht="15" hidden="false" customHeight="false" outlineLevel="0" collapsed="false">
      <c r="A56" s="15" t="n">
        <v>46297</v>
      </c>
      <c r="B56" s="16" t="n">
        <v>116</v>
      </c>
      <c r="C56" s="16" t="n">
        <v>140</v>
      </c>
      <c r="D56" s="16" t="n">
        <v>4339</v>
      </c>
      <c r="E56" s="16" t="n">
        <v>401</v>
      </c>
      <c r="F56" s="16" t="n">
        <v>49</v>
      </c>
      <c r="G56" s="16" t="n">
        <v>25</v>
      </c>
      <c r="H56" s="16" t="n">
        <v>90</v>
      </c>
      <c r="I56" s="16" t="n">
        <v>2409</v>
      </c>
      <c r="J56" s="16" t="n">
        <v>102</v>
      </c>
      <c r="K56" s="16" t="n">
        <v>1225</v>
      </c>
      <c r="L56" s="16" t="n">
        <v>27</v>
      </c>
      <c r="M56" s="16" t="n">
        <v>35</v>
      </c>
      <c r="N56" s="16" t="n">
        <v>6</v>
      </c>
      <c r="O56" s="16" t="n">
        <v>633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  <row r="51" customFormat="false" ht="15" hidden="false" customHeight="false" outlineLevel="0" collapsed="false">
      <c r="A51" s="15" t="n">
        <v>46291</v>
      </c>
      <c r="B51" s="16" t="n">
        <v>14</v>
      </c>
      <c r="C51" s="16" t="n">
        <v>701</v>
      </c>
      <c r="D51" s="16" t="n">
        <v>665</v>
      </c>
      <c r="E51" s="19" t="n">
        <v>34.59</v>
      </c>
      <c r="F51" s="16" t="n">
        <v>3</v>
      </c>
      <c r="G51" s="16" t="n">
        <v>558</v>
      </c>
      <c r="H51" s="16" t="n">
        <v>387</v>
      </c>
      <c r="I51" s="16" t="n">
        <v>34</v>
      </c>
      <c r="J51" s="19" t="n">
        <v>3.4</v>
      </c>
      <c r="K51" s="16" t="n">
        <v>1013</v>
      </c>
      <c r="L51" s="16" t="n">
        <v>28</v>
      </c>
      <c r="M51" s="16" t="n">
        <v>81</v>
      </c>
      <c r="N51" s="16" t="n">
        <v>119</v>
      </c>
      <c r="O51" s="16" t="n">
        <v>337</v>
      </c>
    </row>
    <row r="52" customFormat="false" ht="15" hidden="false" customHeight="false" outlineLevel="0" collapsed="false">
      <c r="A52" s="15" t="n">
        <v>46293</v>
      </c>
      <c r="B52" s="16" t="n">
        <v>17</v>
      </c>
      <c r="C52" s="16" t="n">
        <v>745</v>
      </c>
      <c r="D52" s="16" t="n">
        <v>709</v>
      </c>
      <c r="E52" s="19" t="n">
        <v>33.88</v>
      </c>
      <c r="F52" s="16" t="n">
        <v>3</v>
      </c>
      <c r="G52" s="16" t="n">
        <v>552</v>
      </c>
      <c r="H52" s="16" t="n">
        <v>392</v>
      </c>
      <c r="I52" s="16" t="n">
        <v>31</v>
      </c>
      <c r="J52" s="16" t="n">
        <v>3</v>
      </c>
      <c r="K52" s="16" t="n">
        <v>1039</v>
      </c>
      <c r="L52" s="19" t="n">
        <v>26.6</v>
      </c>
      <c r="M52" s="16" t="n">
        <v>78</v>
      </c>
      <c r="N52" s="16" t="n">
        <v>119</v>
      </c>
      <c r="O52" s="16" t="n">
        <v>334</v>
      </c>
    </row>
    <row r="53" customFormat="false" ht="15" hidden="false" customHeight="false" outlineLevel="0" collapsed="false">
      <c r="A53" s="15" t="n">
        <v>46294</v>
      </c>
      <c r="B53" s="16" t="n">
        <v>17</v>
      </c>
      <c r="C53" s="16" t="n">
        <v>850</v>
      </c>
      <c r="D53" s="16" t="n">
        <v>814</v>
      </c>
      <c r="E53" s="19" t="n">
        <v>34.59</v>
      </c>
      <c r="F53" s="16" t="n">
        <v>3</v>
      </c>
      <c r="G53" s="16" t="n">
        <v>555</v>
      </c>
      <c r="H53" s="16" t="n">
        <v>393</v>
      </c>
      <c r="I53" s="16" t="n">
        <v>32</v>
      </c>
      <c r="J53" s="16" t="n">
        <v>3</v>
      </c>
      <c r="K53" s="16" t="n">
        <v>1051</v>
      </c>
      <c r="L53" s="16" t="n">
        <v>26</v>
      </c>
      <c r="M53" s="16" t="n">
        <v>80</v>
      </c>
      <c r="N53" s="16" t="n">
        <v>119</v>
      </c>
      <c r="O53" s="16" t="n">
        <v>323</v>
      </c>
    </row>
    <row r="54" customFormat="false" ht="15" hidden="false" customHeight="false" outlineLevel="0" collapsed="false">
      <c r="A54" s="15" t="n">
        <v>46295</v>
      </c>
      <c r="B54" s="16" t="n">
        <v>16</v>
      </c>
      <c r="C54" s="16" t="n">
        <v>918</v>
      </c>
      <c r="D54" s="16" t="n">
        <v>882</v>
      </c>
      <c r="E54" s="19" t="n">
        <v>33.99</v>
      </c>
      <c r="F54" s="16" t="n">
        <v>4</v>
      </c>
      <c r="G54" s="16" t="n">
        <v>559</v>
      </c>
      <c r="H54" s="16" t="n">
        <v>394</v>
      </c>
      <c r="I54" s="16" t="n">
        <v>30</v>
      </c>
      <c r="J54" s="19" t="n">
        <v>2.8</v>
      </c>
      <c r="K54" s="16" t="n">
        <v>1056</v>
      </c>
      <c r="L54" s="19" t="n">
        <v>25.8</v>
      </c>
      <c r="M54" s="16" t="n">
        <v>80</v>
      </c>
      <c r="N54" s="16" t="n">
        <v>119</v>
      </c>
      <c r="O54" s="16" t="n">
        <v>342</v>
      </c>
    </row>
    <row r="55" customFormat="false" ht="15" hidden="false" customHeight="false" outlineLevel="0" collapsed="false">
      <c r="A55" s="15" t="n">
        <v>46296</v>
      </c>
      <c r="B55" s="16" t="n">
        <v>18</v>
      </c>
      <c r="C55" s="16" t="n">
        <v>918</v>
      </c>
      <c r="D55" s="16" t="n">
        <v>882</v>
      </c>
      <c r="E55" s="16"/>
      <c r="F55" s="16"/>
      <c r="G55" s="16"/>
      <c r="H55" s="16"/>
      <c r="I55" s="16"/>
      <c r="J55" s="16"/>
      <c r="K55" s="16"/>
      <c r="L55" s="16"/>
      <c r="M55" s="16"/>
      <c r="N55" s="16" t="n">
        <v>119</v>
      </c>
      <c r="O55" s="16" t="n">
        <v>331</v>
      </c>
    </row>
    <row r="56" customFormat="false" ht="15" hidden="false" customHeight="false" outlineLevel="0" collapsed="false">
      <c r="A56" s="15" t="n">
        <v>46297</v>
      </c>
      <c r="B56" s="16" t="n">
        <v>18</v>
      </c>
      <c r="C56" s="16" t="n">
        <v>918</v>
      </c>
      <c r="D56" s="16" t="n">
        <v>882</v>
      </c>
      <c r="E56" s="19" t="n">
        <v>34.92</v>
      </c>
      <c r="F56" s="16" t="n">
        <v>7</v>
      </c>
      <c r="G56" s="16" t="n">
        <v>587</v>
      </c>
      <c r="H56" s="16" t="n">
        <v>403</v>
      </c>
      <c r="I56" s="16" t="n">
        <v>31</v>
      </c>
      <c r="J56" s="19" t="n">
        <v>3.2</v>
      </c>
      <c r="K56" s="16" t="n">
        <v>979</v>
      </c>
      <c r="L56" s="19" t="n">
        <v>23.6</v>
      </c>
      <c r="M56" s="16" t="n">
        <v>84</v>
      </c>
      <c r="N56" s="16" t="n">
        <v>119</v>
      </c>
      <c r="O56" s="16" t="n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  <row r="48" customFormat="false" ht="15" hidden="false" customHeight="false" outlineLevel="0" collapsed="false">
      <c r="A48" s="15" t="n">
        <v>46291</v>
      </c>
      <c r="B48" s="16" t="n">
        <v>92</v>
      </c>
      <c r="C48" s="16" t="n">
        <v>96</v>
      </c>
      <c r="D48" s="16" t="n">
        <v>95</v>
      </c>
      <c r="E48" s="16" t="n">
        <v>92</v>
      </c>
      <c r="F48" s="16" t="n">
        <v>118</v>
      </c>
      <c r="G48" s="16" t="n">
        <v>98</v>
      </c>
      <c r="H48" s="16" t="n">
        <v>119</v>
      </c>
      <c r="I48" s="16" t="n">
        <v>92</v>
      </c>
      <c r="J48" s="16" t="n">
        <v>337</v>
      </c>
      <c r="K48" s="16" t="n">
        <v>271</v>
      </c>
      <c r="L48" s="16" t="n">
        <v>239577</v>
      </c>
    </row>
    <row r="49" customFormat="false" ht="15" hidden="false" customHeight="false" outlineLevel="0" collapsed="false">
      <c r="A49" s="15" t="n">
        <v>46293</v>
      </c>
      <c r="B49" s="16" t="n">
        <v>92</v>
      </c>
      <c r="C49" s="16" t="n">
        <v>95</v>
      </c>
      <c r="D49" s="16" t="n">
        <v>94</v>
      </c>
      <c r="E49" s="16" t="n">
        <v>92</v>
      </c>
      <c r="F49" s="16" t="n">
        <v>118</v>
      </c>
      <c r="G49" s="16" t="n">
        <v>98</v>
      </c>
      <c r="H49" s="16" t="n">
        <v>119</v>
      </c>
      <c r="I49" s="16" t="n">
        <v>92</v>
      </c>
      <c r="J49" s="16" t="n">
        <v>334</v>
      </c>
      <c r="K49" s="16" t="n">
        <v>268</v>
      </c>
      <c r="L49" s="16" t="n">
        <v>239577</v>
      </c>
    </row>
    <row r="50" customFormat="false" ht="15" hidden="false" customHeight="false" outlineLevel="0" collapsed="false">
      <c r="A50" s="15" t="n">
        <v>46294</v>
      </c>
      <c r="B50" s="16" t="n">
        <v>93</v>
      </c>
      <c r="C50" s="16" t="n">
        <v>98</v>
      </c>
      <c r="D50" s="16" t="n">
        <v>95</v>
      </c>
      <c r="E50" s="16" t="n">
        <v>92</v>
      </c>
      <c r="F50" s="16" t="n">
        <v>118</v>
      </c>
      <c r="G50" s="16" t="n">
        <v>99</v>
      </c>
      <c r="H50" s="16" t="n">
        <v>119</v>
      </c>
      <c r="I50" s="16" t="n">
        <v>92</v>
      </c>
      <c r="J50" s="16" t="n">
        <v>323</v>
      </c>
      <c r="K50" s="16" t="n">
        <v>270</v>
      </c>
      <c r="L50" s="16" t="n">
        <v>241329</v>
      </c>
    </row>
    <row r="51" customFormat="false" ht="15" hidden="false" customHeight="false" outlineLevel="0" collapsed="false">
      <c r="A51" s="15" t="n">
        <v>46295</v>
      </c>
      <c r="B51" s="16" t="n">
        <v>93</v>
      </c>
      <c r="C51" s="16" t="n">
        <v>98</v>
      </c>
      <c r="D51" s="16" t="n">
        <v>95</v>
      </c>
      <c r="E51" s="16" t="n">
        <v>92</v>
      </c>
      <c r="F51" s="16" t="n">
        <v>118</v>
      </c>
      <c r="G51" s="16" t="n">
        <v>98</v>
      </c>
      <c r="H51" s="16" t="n">
        <v>119</v>
      </c>
      <c r="I51" s="16" t="n">
        <v>92</v>
      </c>
      <c r="J51" s="16" t="n">
        <v>342</v>
      </c>
      <c r="K51" s="16" t="n">
        <v>276</v>
      </c>
      <c r="L51" s="16" t="n">
        <v>241329</v>
      </c>
    </row>
    <row r="52" customFormat="false" ht="15" hidden="false" customHeight="false" outlineLevel="0" collapsed="false">
      <c r="A52" s="15" t="n">
        <v>46296</v>
      </c>
      <c r="B52" s="16" t="n">
        <v>93</v>
      </c>
      <c r="C52" s="16" t="n">
        <v>98</v>
      </c>
      <c r="D52" s="16" t="n">
        <v>95</v>
      </c>
      <c r="E52" s="16" t="n">
        <v>92</v>
      </c>
      <c r="F52" s="16" t="n">
        <v>118</v>
      </c>
      <c r="G52" s="16" t="n">
        <v>98</v>
      </c>
      <c r="H52" s="16" t="n">
        <v>119</v>
      </c>
      <c r="I52" s="16" t="n">
        <v>92</v>
      </c>
      <c r="J52" s="16" t="n">
        <v>331</v>
      </c>
      <c r="K52" s="16" t="n">
        <v>268</v>
      </c>
      <c r="L52" s="16" t="n">
        <v>241211</v>
      </c>
    </row>
    <row r="53" customFormat="false" ht="15" hidden="false" customHeight="false" outlineLevel="0" collapsed="false">
      <c r="A53" s="15" t="n">
        <v>46297</v>
      </c>
      <c r="B53" s="16" t="n">
        <v>93</v>
      </c>
      <c r="C53" s="16" t="n">
        <v>99</v>
      </c>
      <c r="D53" s="16" t="n">
        <v>95</v>
      </c>
      <c r="E53" s="16" t="n">
        <v>92</v>
      </c>
      <c r="F53" s="16" t="n">
        <v>118</v>
      </c>
      <c r="G53" s="16" t="n">
        <v>96</v>
      </c>
      <c r="H53" s="16" t="n">
        <v>119</v>
      </c>
      <c r="I53" s="16" t="n">
        <v>92</v>
      </c>
      <c r="J53" s="16" t="n">
        <v>531</v>
      </c>
      <c r="K53" s="16" t="n">
        <v>493</v>
      </c>
      <c r="L53" s="16" t="n">
        <v>241211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ngày'!B6:B93,'Social — theo ngày'!$A$6:$A$93,"&gt;="&amp;DATE(2026,7,1),'Social — theo ngày'!$A$6:$A$93,"&lt;="&amp;DATE(2026,7,31))</f>
        <v>125</v>
      </c>
      <c r="C7" s="16" t="n">
        <f aca="false">SUMIFS('Social — theo ngày'!B6:B93,'Social — theo ngày'!$A$6:$A$93,"&gt;="&amp;DATE(2026,8,1),'Social — theo ngày'!$A$6:$A$93,"&lt;="&amp;DATE(2026,8,31))</f>
        <v>195</v>
      </c>
      <c r="D7" s="16" t="n">
        <f aca="false">SUMIFS('Social — theo ngày'!B6:B93,'Social — theo ngày'!$A$6:$A$93,"&gt;="&amp;DATE(2026,9,1),'Social — theo ngày'!$A$6:$A$93,"&lt;="&amp;DATE(2026,9,30))</f>
        <v>160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ngày'!C6:C93,'Social — theo ngày'!$A$6:$A$93,"&gt;="&amp;DATE(2026,7,1),'Social — theo ngày'!$A$6:$A$93,"&lt;="&amp;DATE(2026,7,31))</f>
        <v>106</v>
      </c>
      <c r="C8" s="16" t="n">
        <f aca="false">SUMIFS('Social — theo ngày'!C6:C93,'Social — theo ngày'!$A$6:$A$93,"&gt;="&amp;DATE(2026,8,1),'Social — theo ngày'!$A$6:$A$93,"&lt;="&amp;DATE(2026,8,31))</f>
        <v>147</v>
      </c>
      <c r="D8" s="16" t="n">
        <f aca="false">SUMIFS('Social — theo ngày'!C6:C93,'Social — theo ngày'!$A$6:$A$93,"&gt;="&amp;DATE(2026,9,1),'Social — theo ngày'!$A$6:$A$93,"&lt;="&amp;DATE(2026,9,30))</f>
        <v>354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ngày'!D6:D93,'Social — theo ngày'!$A$6:$A$93,"&gt;="&amp;DATE(2026,7,1),'Social — theo ngày'!$A$6:$A$93,"&lt;="&amp;DATE(2026,7,31))</f>
        <v>3579</v>
      </c>
      <c r="C9" s="16" t="n">
        <f aca="false">SUMIFS('Social — theo ngày'!D6:D93,'Social — theo ngày'!$A$6:$A$93,"&gt;="&amp;DATE(2026,8,1),'Social — theo ngày'!$A$6:$A$93,"&lt;="&amp;DATE(2026,8,31))</f>
        <v>4978</v>
      </c>
      <c r="D9" s="16" t="n">
        <f aca="false">SUMIFS('Social — theo ngày'!D6:D93,'Social — theo ngày'!$A$6:$A$93,"&gt;="&amp;DATE(2026,9,1),'Social — theo ngày'!$A$6:$A$93,"&lt;="&amp;DATE(2026,9,30))</f>
        <v>4776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ngày'!E6:E93,'Social — theo ngày'!$A$6:$A$93,"&gt;="&amp;DATE(2026,7,1),'Social — theo ngày'!$A$6:$A$93,"&lt;="&amp;DATE(2026,7,31))</f>
        <v>189</v>
      </c>
      <c r="C10" s="16" t="n">
        <f aca="false">SUMIFS('Social — theo ngày'!E6:E93,'Social — theo ngày'!$A$6:$A$93,"&gt;="&amp;DATE(2026,8,1),'Social — theo ngày'!$A$6:$A$93,"&lt;="&amp;DATE(2026,8,31))</f>
        <v>314</v>
      </c>
      <c r="D10" s="16" t="n">
        <f aca="false">SUMIFS('Social — theo ngày'!E6:E93,'Social — theo ngày'!$A$6:$A$93,"&gt;="&amp;DATE(2026,9,1),'Social — theo ngày'!$A$6:$A$93,"&lt;="&amp;DATE(2026,9,30))</f>
        <v>425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ngày'!F6:F93,'Social — theo ngày'!$A$6:$A$93,"&gt;="&amp;DATE(2026,7,1),'Social — theo ngày'!$A$6:$A$93,"&lt;="&amp;DATE(2026,7,31))</f>
        <v>51</v>
      </c>
      <c r="C11" s="16" t="n">
        <f aca="false">SUMIFS('Social — theo ngày'!F6:F93,'Social — theo ngày'!$A$6:$A$93,"&gt;="&amp;DATE(2026,8,1),'Social — theo ngày'!$A$6:$A$93,"&lt;="&amp;DATE(2026,8,31))</f>
        <v>69</v>
      </c>
      <c r="D11" s="16" t="n">
        <f aca="false">SUMIFS('Social — theo ngày'!F6:F93,'Social — theo ngày'!$A$6:$A$93,"&gt;="&amp;DATE(2026,9,1),'Social — theo ngày'!$A$6:$A$93,"&lt;="&amp;DATE(2026,9,30))</f>
        <v>25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ngày'!G6:G93,'Social — theo ngày'!$A$6:$A$93,"&gt;="&amp;DATE(2026,7,1),'Social — theo ngày'!$A$6:$A$93,"&lt;="&amp;DATE(2026,7,31))</f>
        <v>275</v>
      </c>
      <c r="C12" s="16" t="n">
        <f aca="false">SUMIFS('Social — theo ngày'!G6:G93,'Social — theo ngày'!$A$6:$A$93,"&gt;="&amp;DATE(2026,8,1),'Social — theo ngày'!$A$6:$A$93,"&lt;="&amp;DATE(2026,8,31))</f>
        <v>387</v>
      </c>
      <c r="D12" s="16" t="n">
        <f aca="false">SUMIFS('Social — theo ngày'!G6:G93,'Social — theo ngày'!$A$6:$A$93,"&gt;="&amp;DATE(2026,9,1),'Social — theo ngày'!$A$6:$A$93,"&lt;="&amp;DATE(2026,9,30))</f>
        <v>174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ngày'!H6:H93,'Social — theo ngày'!$A$6:$A$93,"&gt;="&amp;DATE(2026,7,1),'Social — theo ngày'!$A$6:$A$93,"&lt;="&amp;DATE(2026,7,31))</f>
        <v>869</v>
      </c>
      <c r="C13" s="16" t="n">
        <f aca="false">SUMIFS('Social — theo ngày'!H6:H93,'Social — theo ngày'!$A$6:$A$93,"&gt;="&amp;DATE(2026,8,1),'Social — theo ngày'!$A$6:$A$93,"&lt;="&amp;DATE(2026,8,31))</f>
        <v>1161</v>
      </c>
      <c r="D13" s="16" t="n">
        <f aca="false">SUMIFS('Social — theo ngày'!H6:H93,'Social — theo ngày'!$A$6:$A$93,"&gt;="&amp;DATE(2026,9,1),'Social — theo ngày'!$A$6:$A$93,"&lt;="&amp;DATE(2026,9,30))</f>
        <v>2465</v>
      </c>
    </row>
    <row r="15" customFormat="false" ht="15" hidden="false" customHeight="false" outlineLevel="0" collapsed="false">
      <c r="A15" s="23" t="s">
        <v>92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  <c r="E16" s="21" t="s">
        <v>93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ngày'!B54</f>
        <v>116</v>
      </c>
      <c r="E17" s="24" t="n">
        <f aca="false">'Social — 28 ngày'!B56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ngày'!C54</f>
        <v>141</v>
      </c>
      <c r="E18" s="24" t="n">
        <f aca="false">'Social — 28 ngày'!C56</f>
        <v>140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ngày'!D54</f>
        <v>4519</v>
      </c>
      <c r="E19" s="24" t="n">
        <f aca="false">'Social — 28 ngày'!D56</f>
        <v>4339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ngày'!E54</f>
        <v>422</v>
      </c>
      <c r="E20" s="24" t="n">
        <f aca="false">'Social — 28 ngày'!E56</f>
        <v>401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ngày'!F54</f>
        <v>49</v>
      </c>
      <c r="E21" s="24" t="n">
        <f aca="false">'Social — 28 ngày'!F56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ngày'!G54</f>
        <v>20</v>
      </c>
      <c r="E22" s="24" t="n">
        <f aca="false">'Social — 28 ngày'!G56</f>
        <v>25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ngày'!H54</f>
        <v>87</v>
      </c>
      <c r="E23" s="24" t="n">
        <f aca="false">'Social — 28 ngày'!H56</f>
        <v>90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ngày'!I54</f>
        <v>2258</v>
      </c>
      <c r="E24" s="24" t="n">
        <f aca="false">'Social — 28 ngày'!I56</f>
        <v>2409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ngày'!J54</f>
        <v>102</v>
      </c>
      <c r="E25" s="24" t="n">
        <f aca="false">'Social — 28 ngày'!J56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ngày'!K54</f>
        <v>1193</v>
      </c>
      <c r="E26" s="24" t="n">
        <f aca="false">'Social — 28 ngày'!K56</f>
        <v>1225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ngày'!L54</f>
        <v>24</v>
      </c>
      <c r="E27" s="24" t="n">
        <f aca="false">'Social — 28 ngày'!L56</f>
        <v>27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ngày'!M54</f>
        <v>36</v>
      </c>
      <c r="E28" s="24" t="n">
        <f aca="false">'Social — 28 ngày'!M56</f>
        <v>35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ngày'!N54</f>
        <v>4</v>
      </c>
      <c r="E29" s="24" t="n">
        <f aca="false">'Social — 28 ngày'!N56</f>
        <v>6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ngày'!O54</f>
        <v>634</v>
      </c>
      <c r="E30" s="24" t="n">
        <f aca="false">'Social — 28 ngày'!O56</f>
        <v>633</v>
      </c>
    </row>
    <row r="32" customFormat="false" ht="15" hidden="false" customHeight="false" outlineLevel="0" collapsed="false">
      <c r="A32" s="23" t="s">
        <v>94</v>
      </c>
    </row>
    <row r="33" customFormat="false" ht="15" hidden="false" customHeight="false" outlineLevel="0" collapsed="false">
      <c r="A33" s="13" t="s">
        <v>88</v>
      </c>
      <c r="B33" s="21" t="s">
        <v>95</v>
      </c>
      <c r="C33" s="21" t="s">
        <v>89</v>
      </c>
      <c r="D33" s="21" t="s">
        <v>90</v>
      </c>
      <c r="E33" s="21" t="s">
        <v>91</v>
      </c>
      <c r="F33" s="21" t="s">
        <v>93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SEO!B54</f>
        <v>16</v>
      </c>
      <c r="F34" s="24" t="n">
        <f aca="false">SEO!B56</f>
        <v>18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SEO!C54</f>
        <v>918</v>
      </c>
      <c r="F35" s="24" t="n">
        <f aca="false">SEO!C56</f>
        <v>918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SEO!D54</f>
        <v>882</v>
      </c>
      <c r="F36" s="24" t="n">
        <f aca="false">SEO!D56</f>
        <v>882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SEO!E54</f>
        <v>33.99</v>
      </c>
      <c r="F37" s="24" t="n">
        <f aca="false">SEO!E56</f>
        <v>34.92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SEO!F54</f>
        <v>4</v>
      </c>
      <c r="F38" s="24" t="n">
        <f aca="false">SEO!F56</f>
        <v>7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SEO!G54</f>
        <v>559</v>
      </c>
      <c r="F39" s="24" t="n">
        <f aca="false">SEO!G56</f>
        <v>587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SEO!H54</f>
        <v>394</v>
      </c>
      <c r="F40" s="24" t="n">
        <f aca="false">SEO!H56</f>
        <v>403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SEO!I54</f>
        <v>30</v>
      </c>
      <c r="F41" s="24" t="n">
        <f aca="false">SEO!I56</f>
        <v>31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SEO!J54</f>
        <v>2.8</v>
      </c>
      <c r="F42" s="24" t="n">
        <f aca="false">SEO!J56</f>
        <v>3.2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SEO!K54</f>
        <v>1056</v>
      </c>
      <c r="F43" s="24" t="n">
        <f aca="false">SEO!K56</f>
        <v>979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SEO!L54</f>
        <v>25.8</v>
      </c>
      <c r="F44" s="24" t="n">
        <f aca="false">SEO!L56</f>
        <v>23.6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SEO!M54</f>
        <v>80</v>
      </c>
      <c r="F45" s="24" t="n">
        <f aca="false">SEO!M56</f>
        <v>84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SEO!N54</f>
        <v>119</v>
      </c>
      <c r="F46" s="24" t="n">
        <f aca="false">SEO!N56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SEO!O54</f>
        <v>342</v>
      </c>
      <c r="F47" s="24" t="n">
        <f aca="false">SEO!O56</f>
        <v>531</v>
      </c>
    </row>
    <row r="49" customFormat="false" ht="15" hidden="false" customHeight="false" outlineLevel="0" collapsed="false">
      <c r="A49" s="23" t="s">
        <v>96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  <c r="E50" s="21" t="s">
        <v>93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Audit!B51</f>
        <v>93</v>
      </c>
      <c r="E51" s="24" t="n">
        <f aca="false">Audit!B53</f>
        <v>93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Audit!C51</f>
        <v>98</v>
      </c>
      <c r="E52" s="24" t="n">
        <f aca="false">Audit!C53</f>
        <v>99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Audit!D51</f>
        <v>95</v>
      </c>
      <c r="E53" s="24" t="n">
        <f aca="false">Audit!D53</f>
        <v>95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Audit!E51</f>
        <v>92</v>
      </c>
      <c r="E54" s="24" t="n">
        <f aca="false">Audit!E53</f>
        <v>92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Audit!F51</f>
        <v>118</v>
      </c>
      <c r="E55" s="24" t="n">
        <f aca="false">Audit!F53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Audit!G51</f>
        <v>98</v>
      </c>
      <c r="E56" s="24" t="n">
        <f aca="false">Audit!G53</f>
        <v>96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Audit!H51</f>
        <v>119</v>
      </c>
      <c r="E57" s="24" t="n">
        <f aca="false">Audit!H53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Audit!I51</f>
        <v>92</v>
      </c>
      <c r="E58" s="24" t="n">
        <f aca="false">Audit!I53</f>
        <v>92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Audit!J51</f>
        <v>342</v>
      </c>
      <c r="E59" s="24" t="n">
        <f aca="false">Audit!J53</f>
        <v>531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Audit!K51</f>
        <v>276</v>
      </c>
      <c r="E60" s="24" t="n">
        <f aca="false">Audit!K53</f>
        <v>493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Audit!L51</f>
        <v>241329</v>
      </c>
      <c r="E61" s="24" t="n">
        <f aca="false">Audit!L53</f>
        <v>241211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2026-10-02T00:20:49Z</dcterms:created>
  <dc:creator>openpyxl</dc:creator>
  <dc:description/>
  <dc:language>en-US</dc:language>
  <cp:lastModifiedBy/>
  <dcterms:modified xsi:type="dcterms:W3CDTF">2026-10-02T00:20:49Z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