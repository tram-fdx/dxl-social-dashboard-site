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<sst xmlns="http://schemas.openxmlformats.org/spreadsheetml/2006/main" count="212" uniqueCount="96">
  <si>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</si>
  <si>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2026-09-30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</si>
  <si>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</si>
  <si>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</si>
  <si>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</si>
  <si>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</si>
  <si>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</si>
  <si>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</si>
  <si>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</si>
  <si>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</si>
  <si>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</si>
  <si>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</si>
  <si>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</si>
  <si>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</si>
  <si>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</si>
  <si>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</si>
  <si>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</si>
  <si>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</si>
  <si>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</si>
  <si>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</si>
  <si>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</si>
  <si>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</si>
  <si>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</si>
  <si>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86 dòng × 7 chỉ số · 2026-07-05 → 2026-09-28</t>
  </si>
  <si>
    <t xml:space="preserve">Social — 28 ngày</t>
  </si>
  <si>
    <t xml:space="preserve">49 dòng × 14 chỉ số · 2026-07-23 → 2026-09-30</t>
  </si>
  <si>
    <t xml:space="preserve">SEO</t>
  </si>
  <si>
    <t xml:space="preserve">49 dòng × 14 chỉ số · 2026-06-30 → 2026-09-30</t>
  </si>
  <si>
    <t xml:space="preserve">Audit</t>
  </si>
  <si>
    <t xml:space="preserve">46 dòng × 11 chỉ số · 2026-07-27 → 2026-09-30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</si>
  <si>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</si>
  <si>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86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</si>
  <si>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</si>
  <si>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</si>
  <si>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</si>
  <si>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</si>
  <si>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</si>
  <si>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</si>
  <si>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</si>
  <si>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</si>
  <si>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</si>
  <si>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</si>
  <si>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49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</si>
  <si>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</si>
  <si>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</si>
  <si>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</si>
  <si>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</si>
  <si>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</si>
  <si>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</si>
  <si>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</si>
  <si>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</si>
  <si>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</si>
  <si>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</si>
  <si>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</si>
  <si>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</si>
  <si>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</si>
  <si>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</si>
  <si>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</si>
  <si>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49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</si>
  <si>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</si>
  <si>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</si>
  <si>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</si>
  <si>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</si>
  <si>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</si>
  <si>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</si>
  <si>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</si>
  <si>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</si>
  <si>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</si>
  <si>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</si>
  <si>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</si>
  <si>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</si>
  <si>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</si>
  <si>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</si>
  <si>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</si>
  <si>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46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</si>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</sst>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ngày'!B6:B91,'Social — theo ngày'!$A$6:$A$91,"&gt;="&amp;DATE(2026,7,1),'Social — theo ngày'!$A$6:$A$91,"&lt;="&amp;DATE(2026,7,31))</f>
        <v>125</v>
      </c>
      <c r="C7" s="16" t="n">
        <f aca="false">SUMIFS('Social — theo ngày'!B6:B91,'Social — theo ngày'!$A$6:$A$91,"&gt;="&amp;DATE(2026,8,1),'Social — theo ngày'!$A$6:$A$91,"&lt;="&amp;DATE(2026,8,31))</f>
        <v>195</v>
      </c>
      <c r="D7" s="16" t="n">
        <f aca="false">SUMIFS('Social — theo ngày'!B6:B91,'Social — theo ngày'!$A$6:$A$91,"&gt;="&amp;DATE(2026,9,1),'Social — theo ngày'!$A$6:$A$91,"&lt;="&amp;DATE(2026,9,30))</f>
        <v>141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ngày'!C6:C91,'Social — theo ngày'!$A$6:$A$91,"&gt;="&amp;DATE(2026,7,1),'Social — theo ngày'!$A$6:$A$91,"&lt;="&amp;DATE(2026,7,31))</f>
        <v>106</v>
      </c>
      <c r="C8" s="16" t="n">
        <f aca="false">SUMIFS('Social — theo ngày'!C6:C91,'Social — theo ngày'!$A$6:$A$91,"&gt;="&amp;DATE(2026,8,1),'Social — theo ngày'!$A$6:$A$91,"&lt;="&amp;DATE(2026,8,31))</f>
        <v>147</v>
      </c>
      <c r="D8" s="16" t="n">
        <f aca="false">SUMIFS('Social — theo ngày'!C6:C91,'Social — theo ngày'!$A$6:$A$91,"&gt;="&amp;DATE(2026,9,1),'Social — theo ngày'!$A$6:$A$91,"&lt;="&amp;DATE(2026,9,30))</f>
        <v>353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ngày'!D6:D91,'Social — theo ngày'!$A$6:$A$91,"&gt;="&amp;DATE(2026,7,1),'Social — theo ngày'!$A$6:$A$91,"&lt;="&amp;DATE(2026,7,31))</f>
        <v>3579</v>
      </c>
      <c r="C9" s="16" t="n">
        <f aca="false">SUMIFS('Social — theo ngày'!D6:D91,'Social — theo ngày'!$A$6:$A$91,"&gt;="&amp;DATE(2026,8,1),'Social — theo ngày'!$A$6:$A$91,"&lt;="&amp;DATE(2026,8,31))</f>
        <v>4978</v>
      </c>
      <c r="D9" s="16" t="n">
        <f aca="false">SUMIFS('Social — theo ngày'!D6:D91,'Social — theo ngày'!$A$6:$A$91,"&gt;="&amp;DATE(2026,9,1),'Social — theo ngày'!$A$6:$A$91,"&lt;="&amp;DATE(2026,9,30))</f>
        <v>4519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ngày'!E6:E91,'Social — theo ngày'!$A$6:$A$91,"&gt;="&amp;DATE(2026,7,1),'Social — theo ngày'!$A$6:$A$91,"&lt;="&amp;DATE(2026,7,31))</f>
        <v>189</v>
      </c>
      <c r="C10" s="16" t="n">
        <f aca="false">SUMIFS('Social — theo ngày'!E6:E91,'Social — theo ngày'!$A$6:$A$91,"&gt;="&amp;DATE(2026,8,1),'Social — theo ngày'!$A$6:$A$91,"&lt;="&amp;DATE(2026,8,31))</f>
        <v>314</v>
      </c>
      <c r="D10" s="16" t="n">
        <f aca="false">SUMIFS('Social — theo ngày'!E6:E91,'Social — theo ngày'!$A$6:$A$91,"&gt;="&amp;DATE(2026,9,1),'Social — theo ngày'!$A$6:$A$91,"&lt;="&amp;DATE(2026,9,30))</f>
        <v>422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ngày'!F6:F91,'Social — theo ngày'!$A$6:$A$91,"&gt;="&amp;DATE(2026,7,1),'Social — theo ngày'!$A$6:$A$91,"&lt;="&amp;DATE(2026,7,31))</f>
        <v>51</v>
      </c>
      <c r="C11" s="16" t="n">
        <f aca="false">SUMIFS('Social — theo ngày'!F6:F91,'Social — theo ngày'!$A$6:$A$91,"&gt;="&amp;DATE(2026,8,1),'Social — theo ngày'!$A$6:$A$91,"&lt;="&amp;DATE(2026,8,31))</f>
        <v>69</v>
      </c>
      <c r="D11" s="16" t="n">
        <f aca="false">SUMIFS('Social — theo ngày'!F6:F91,'Social — theo ngày'!$A$6:$A$91,"&gt;="&amp;DATE(2026,9,1),'Social — theo ngày'!$A$6:$A$91,"&lt;="&amp;DATE(2026,9,30))</f>
        <v>20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ngày'!G6:G91,'Social — theo ngày'!$A$6:$A$91,"&gt;="&amp;DATE(2026,7,1),'Social — theo ngày'!$A$6:$A$91,"&lt;="&amp;DATE(2026,7,31))</f>
        <v>275</v>
      </c>
      <c r="C12" s="16" t="n">
        <f aca="false">SUMIFS('Social — theo ngày'!G6:G91,'Social — theo ngày'!$A$6:$A$91,"&gt;="&amp;DATE(2026,8,1),'Social — theo ngày'!$A$6:$A$91,"&lt;="&amp;DATE(2026,8,31))</f>
        <v>387</v>
      </c>
      <c r="D12" s="16" t="n">
        <f aca="false">SUMIFS('Social — theo ngày'!G6:G91,'Social — theo ngày'!$A$6:$A$91,"&gt;="&amp;DATE(2026,9,1),'Social — theo ngày'!$A$6:$A$91,"&lt;="&amp;DATE(2026,9,30))</f>
        <v>160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ngày'!H6:H91,'Social — theo ngày'!$A$6:$A$91,"&gt;="&amp;DATE(2026,7,1),'Social — theo ngày'!$A$6:$A$91,"&lt;="&amp;DATE(2026,7,31))</f>
        <v>869</v>
      </c>
      <c r="C13" s="16" t="n">
        <f aca="false">SUMIFS('Social — theo ngày'!H6:H91,'Social — theo ngày'!$A$6:$A$91,"&gt;="&amp;DATE(2026,8,1),'Social — theo ngày'!$A$6:$A$91,"&lt;="&amp;DATE(2026,8,31))</f>
        <v>1161</v>
      </c>
      <c r="D13" s="16" t="n">
        <f aca="false">SUMIFS('Social — theo ngày'!H6:H91,'Social — theo ngày'!$A$6:$A$91,"&gt;="&amp;DATE(2026,9,1),'Social — theo ngày'!$A$6:$A$91,"&lt;="&amp;DATE(2026,9,30))</f>
        <v>2258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2026-09-30T00:07:28Z</dcterms:created>
  <dc:creator>openpyxl</dc:creator>
  <dc:description/>
  <dc:language>en-US</dc:language>
  <cp:lastModifiedBy/>
  <dcterms:modified xsi:type="dcterms:W3CDTF">2026-09-30T00:07:28Z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