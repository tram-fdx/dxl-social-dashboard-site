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<sst xmlns="http://schemas.openxmlformats.org/spreadsheetml/2006/main" count="216" uniqueCount="97">
  <si>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</si>
  <si>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2026-10-21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</si>
  <si>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</si>
  <si>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</si>
  <si>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</si>
  <si>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</si>
  <si>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</si>
  <si>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</si>
  <si>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</si>
  <si>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</si>
  <si>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</si>
  <si>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</si>
  <si>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</si>
  <si>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</si>
  <si>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</si>
  <si>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</si>
  <si>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</si>
  <si>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</si>
  <si>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</si>
  <si>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</si>
  <si>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</si>
  <si>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</si>
  <si>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</si>
  <si>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108 dòng × 7 chỉ số · 2026-07-05 → 2026-10-20</t>
  </si>
  <si>
    <t xml:space="preserve">Social — 28 ngày</t>
  </si>
  <si>
    <t xml:space="preserve">66 dòng × 14 chỉ số · 2026-07-23 → 2026-10-22</t>
  </si>
  <si>
    <t xml:space="preserve">SEO</t>
  </si>
  <si>
    <t xml:space="preserve">66 dòng × 14 chỉ số · 2026-06-30 → 2026-10-22</t>
  </si>
  <si>
    <t xml:space="preserve">Audit</t>
  </si>
  <si>
    <t xml:space="preserve">63 dòng × 11 chỉ số · 2026-07-27 → 2026-10-22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</si>
  <si>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</si>
  <si>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108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</si>
  <si>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</si>
  <si>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</si>
  <si>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</si>
  <si>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</si>
  <si>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</si>
  <si>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</si>
  <si>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</si>
  <si>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</si>
  <si>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</si>
  <si>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</si>
  <si>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66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</si>
  <si>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</si>
  <si>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</si>
  <si>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</si>
  <si>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</si>
  <si>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</si>
  <si>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</si>
  <si>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</si>
  <si>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</si>
  <si>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</si>
  <si>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</si>
  <si>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</si>
  <si>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</si>
  <si>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</si>
  <si>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</si>
  <si>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</si>
  <si>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66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</si>
  <si>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</si>
  <si>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</si>
  <si>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</si>
  <si>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</si>
  <si>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</si>
  <si>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</si>
  <si>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</si>
  <si>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</si>
  <si>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</si>
  <si>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</si>
  <si>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</si>
  <si>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</si>
  <si>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</si>
  <si>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</si>
  <si>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</si>
  <si>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63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</si>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</sst>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  <row r="113" customFormat="false" ht="15" hidden="false" customHeight="false" outlineLevel="0" collapsed="false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/>
      <c r="H113" s="16" t="n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 customFormat="false" ht="15" hidden="false" customHeight="false" outlineLevel="0" collapsed="false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 customFormat="false" ht="15" hidden="false" customHeight="false" outlineLevel="0" collapsed="false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 customFormat="false" ht="15" hidden="false" customHeight="false" outlineLevel="0" collapsed="false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ngày'!B6:B113,'Social — theo ngày'!$A$6:$A$113,"&gt;="&amp;DATE(2026,7,1),'Social — theo ngày'!$A$6:$A$113,"&lt;="&amp;DATE(2026,7,31))</f>
        <v>125</v>
      </c>
      <c r="C7" s="16" t="n">
        <f aca="false">SUMIFS('Social — theo ngày'!B6:B113,'Social — theo ngày'!$A$6:$A$113,"&gt;="&amp;DATE(2026,8,1),'Social — theo ngày'!$A$6:$A$113,"&lt;="&amp;DATE(2026,8,31))</f>
        <v>195</v>
      </c>
      <c r="D7" s="16" t="n">
        <f aca="false">SUMIFS('Social — theo ngày'!B6:B113,'Social — theo ngày'!$A$6:$A$113,"&gt;="&amp;DATE(2026,9,1),'Social — theo ngày'!$A$6:$A$113,"&lt;="&amp;DATE(2026,9,30))</f>
        <v>160</v>
      </c>
      <c r="E7" s="16" t="n">
        <f aca="false">SUMIFS('Social — theo ngày'!B6:B113,'Social — theo ngày'!$A$6:$A$113,"&gt;="&amp;DATE(2026,10,1),'Social — theo ngày'!$A$6:$A$113,"&lt;="&amp;DATE(2026,10,31))</f>
        <v>128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ngày'!C6:C113,'Social — theo ngày'!$A$6:$A$113,"&gt;="&amp;DATE(2026,7,1),'Social — theo ngày'!$A$6:$A$113,"&lt;="&amp;DATE(2026,7,31))</f>
        <v>106</v>
      </c>
      <c r="C8" s="16" t="n">
        <f aca="false">SUMIFS('Social — theo ngày'!C6:C113,'Social — theo ngày'!$A$6:$A$113,"&gt;="&amp;DATE(2026,8,1),'Social — theo ngày'!$A$6:$A$113,"&lt;="&amp;DATE(2026,8,31))</f>
        <v>147</v>
      </c>
      <c r="D8" s="16" t="n">
        <f aca="false">SUMIFS('Social — theo ngày'!C6:C113,'Social — theo ngày'!$A$6:$A$113,"&gt;="&amp;DATE(2026,9,1),'Social — theo ngày'!$A$6:$A$113,"&lt;="&amp;DATE(2026,9,30))</f>
        <v>354</v>
      </c>
      <c r="E8" s="16" t="n">
        <f aca="false">SUMIFS('Social — theo ngày'!C6:C113,'Social — theo ngày'!$A$6:$A$113,"&gt;="&amp;DATE(2026,10,1),'Social — theo ngày'!$A$6:$A$113,"&lt;="&amp;DATE(2026,10,31))</f>
        <v>333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ngày'!D6:D113,'Social — theo ngày'!$A$6:$A$113,"&gt;="&amp;DATE(2026,7,1),'Social — theo ngày'!$A$6:$A$113,"&lt;="&amp;DATE(2026,7,31))</f>
        <v>3579</v>
      </c>
      <c r="C9" s="16" t="n">
        <f aca="false">SUMIFS('Social — theo ngày'!D6:D113,'Social — theo ngày'!$A$6:$A$113,"&gt;="&amp;DATE(2026,8,1),'Social — theo ngày'!$A$6:$A$113,"&lt;="&amp;DATE(2026,8,31))</f>
        <v>4978</v>
      </c>
      <c r="D9" s="16" t="n">
        <f aca="false">SUMIFS('Social — theo ngày'!D6:D113,'Social — theo ngày'!$A$6:$A$113,"&gt;="&amp;DATE(2026,9,1),'Social — theo ngày'!$A$6:$A$113,"&lt;="&amp;DATE(2026,9,30))</f>
        <v>4776</v>
      </c>
      <c r="E9" s="16" t="n">
        <f aca="false">SUMIFS('Social — theo ngày'!D6:D113,'Social — theo ngày'!$A$6:$A$113,"&gt;="&amp;DATE(2026,10,1),'Social — theo ngày'!$A$6:$A$113,"&lt;="&amp;DATE(2026,10,31))</f>
        <v>3032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ngày'!E6:E113,'Social — theo ngày'!$A$6:$A$113,"&gt;="&amp;DATE(2026,7,1),'Social — theo ngày'!$A$6:$A$113,"&lt;="&amp;DATE(2026,7,31))</f>
        <v>189</v>
      </c>
      <c r="C10" s="16" t="n">
        <f aca="false">SUMIFS('Social — theo ngày'!E6:E113,'Social — theo ngày'!$A$6:$A$113,"&gt;="&amp;DATE(2026,8,1),'Social — theo ngày'!$A$6:$A$113,"&lt;="&amp;DATE(2026,8,31))</f>
        <v>314</v>
      </c>
      <c r="D10" s="16" t="n">
        <f aca="false">SUMIFS('Social — theo ngày'!E6:E113,'Social — theo ngày'!$A$6:$A$113,"&gt;="&amp;DATE(2026,9,1),'Social — theo ngày'!$A$6:$A$113,"&lt;="&amp;DATE(2026,9,30))</f>
        <v>425</v>
      </c>
      <c r="E10" s="16" t="n">
        <f aca="false">SUMIFS('Social — theo ngày'!E6:E113,'Social — theo ngày'!$A$6:$A$113,"&gt;="&amp;DATE(2026,10,1),'Social — theo ngày'!$A$6:$A$113,"&lt;="&amp;DATE(2026,10,31))</f>
        <v>441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ngày'!F6:F113,'Social — theo ngày'!$A$6:$A$113,"&gt;="&amp;DATE(2026,7,1),'Social — theo ngày'!$A$6:$A$113,"&lt;="&amp;DATE(2026,7,31))</f>
        <v>51</v>
      </c>
      <c r="C11" s="16" t="n">
        <f aca="false">SUMIFS('Social — theo ngày'!F6:F113,'Social — theo ngày'!$A$6:$A$113,"&gt;="&amp;DATE(2026,8,1),'Social — theo ngày'!$A$6:$A$113,"&lt;="&amp;DATE(2026,8,31))</f>
        <v>69</v>
      </c>
      <c r="D11" s="16" t="n">
        <f aca="false">SUMIFS('Social — theo ngày'!F6:F113,'Social — theo ngày'!$A$6:$A$113,"&gt;="&amp;DATE(2026,9,1),'Social — theo ngày'!$A$6:$A$113,"&lt;="&amp;DATE(2026,9,30))</f>
        <v>25</v>
      </c>
      <c r="E11" s="16" t="n">
        <f aca="false">SUMIFS('Social — theo ngày'!F6:F113,'Social — theo ngày'!$A$6:$A$113,"&gt;="&amp;DATE(2026,10,1),'Social — theo ngày'!$A$6:$A$113,"&lt;="&amp;DATE(2026,10,31))</f>
        <v>43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ngày'!G6:G113,'Social — theo ngày'!$A$6:$A$113,"&gt;="&amp;DATE(2026,7,1),'Social — theo ngày'!$A$6:$A$113,"&lt;="&amp;DATE(2026,7,31))</f>
        <v>275</v>
      </c>
      <c r="C12" s="16" t="n">
        <f aca="false">SUMIFS('Social — theo ngày'!G6:G113,'Social — theo ngày'!$A$6:$A$113,"&gt;="&amp;DATE(2026,8,1),'Social — theo ngày'!$A$6:$A$113,"&lt;="&amp;DATE(2026,8,31))</f>
        <v>387</v>
      </c>
      <c r="D12" s="16" t="n">
        <f aca="false">SUMIFS('Social — theo ngày'!G6:G113,'Social — theo ngày'!$A$6:$A$113,"&gt;="&amp;DATE(2026,9,1),'Social — theo ngày'!$A$6:$A$113,"&lt;="&amp;DATE(2026,9,30))</f>
        <v>177</v>
      </c>
      <c r="E12" s="16" t="n">
        <f aca="false">SUMIFS('Social — theo ngày'!G6:G113,'Social — theo ngày'!$A$6:$A$113,"&gt;="&amp;DATE(2026,10,1),'Social — theo ngày'!$A$6:$A$113,"&lt;="&amp;DATE(2026,10,31))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ngày'!H6:H113,'Social — theo ngày'!$A$6:$A$113,"&gt;="&amp;DATE(2026,7,1),'Social — theo ngày'!$A$6:$A$113,"&lt;="&amp;DATE(2026,7,31))</f>
        <v>869</v>
      </c>
      <c r="C13" s="16" t="n">
        <f aca="false">SUMIFS('Social — theo ngày'!H6:H113,'Social — theo ngày'!$A$6:$A$113,"&gt;="&amp;DATE(2026,8,1),'Social — theo ngày'!$A$6:$A$113,"&lt;="&amp;DATE(2026,8,31))</f>
        <v>1161</v>
      </c>
      <c r="D13" s="16" t="n">
        <f aca="false">SUMIFS('Social — theo ngày'!H6:H113,'Social — theo ngày'!$A$6:$A$113,"&gt;="&amp;DATE(2026,9,1),'Social — theo ngày'!$A$6:$A$113,"&lt;="&amp;DATE(2026,9,30))</f>
        <v>2465</v>
      </c>
      <c r="E13" s="16" t="n">
        <f aca="false">SUMIFS('Social — theo ngày'!H6:H113,'Social — theo ngày'!$A$6:$A$113,"&gt;="&amp;DATE(2026,10,1),'Social — theo ngày'!$A$6:$A$113,"&lt;="&amp;DATE(2026,10,31))</f>
        <v>1437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ngày'!B71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ngày'!C71</f>
        <v>177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ngày'!D71</f>
        <v>4026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ngày'!E71</f>
        <v>517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ngày'!F71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ngày'!G71</f>
        <v>57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ngày'!H71</f>
        <v>286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ngày'!I71</f>
        <v>1790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ngày'!J71</f>
        <v>138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ngày'!K71</f>
        <v>1250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ngày'!L71</f>
        <v>80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ngày'!M71</f>
        <v>35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ngày'!N71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ngày'!O71</f>
        <v>783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SEO!B71</f>
        <v>21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SEO!C71</f>
        <v>911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SEO!D71</f>
        <v>875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SEO!E71</f>
        <v>39.58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SEO!F71</f>
        <v>8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SEO!G71</f>
        <v>672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SEO!H71</f>
        <v>422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SEO!I71</f>
        <v>29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SEO!J71</f>
        <v>2.5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SEO!K71</f>
        <v>1174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SEO!L71</f>
        <v>18.3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SEO!M71</f>
        <v>114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SEO!N71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SEO!O71</f>
        <v>311.2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Audit!B68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Audit!C68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Audit!D68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Audit!E68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Audit!F68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Audit!G68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Audit!H68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Audit!I68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Audit!J68</f>
        <v>311.2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Audit!K68</f>
        <v>255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Audit!L68</f>
        <v>243021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2026-10-21T23:21:40Z</dcterms:created>
  <dc:creator>openpyxl</dc:creator>
  <dc:description/>
  <dc:language>en-US</dc:language>
  <cp:lastModifiedBy/>
  <dcterms:modified xsi:type="dcterms:W3CDTF">2026-10-21T23:21:40Z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