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<sst xmlns="http://schemas.openxmlformats.org/spreadsheetml/2006/main" count="216" uniqueCount="97">
  <si>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</si>
  <si>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2026-10-19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</si>
  <si>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</si>
  <si>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</si>
  <si>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</si>
  <si>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</si>
  <si>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</si>
  <si>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</si>
  <si>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</si>
  <si>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</si>
  <si>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</si>
  <si>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</si>
  <si>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</si>
  <si>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</si>
  <si>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</si>
  <si>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</si>
  <si>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</si>
  <si>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</si>
  <si>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</si>
  <si>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</si>
  <si>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</si>
  <si>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</si>
  <si>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</si>
  <si>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106 dòng × 7 chỉ số · 2026-07-05 → 2026-10-18</t>
  </si>
  <si>
    <t xml:space="preserve">Social — 28 ngày</t>
  </si>
  <si>
    <t xml:space="preserve">64 dòng × 14 chỉ số · 2026-07-23 → 2026-10-20</t>
  </si>
  <si>
    <t xml:space="preserve">SEO</t>
  </si>
  <si>
    <t xml:space="preserve">64 dòng × 14 chỉ số · 2026-06-30 → 2026-10-20</t>
  </si>
  <si>
    <t xml:space="preserve">Audit</t>
  </si>
  <si>
    <t xml:space="preserve">61 dòng × 11 chỉ số · 2026-07-27 → 2026-10-20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</si>
  <si>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</si>
  <si>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106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</si>
  <si>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</si>
  <si>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</si>
  <si>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</si>
  <si>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</si>
  <si>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</si>
  <si>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</si>
  <si>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</si>
  <si>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</si>
  <si>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</si>
  <si>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</si>
  <si>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64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</si>
  <si>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</si>
  <si>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</si>
  <si>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</si>
  <si>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</si>
  <si>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</si>
  <si>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</si>
  <si>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</si>
  <si>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</si>
  <si>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</si>
  <si>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</si>
  <si>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</si>
  <si>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</si>
  <si>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</si>
  <si>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</si>
  <si>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</si>
  <si>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64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</si>
  <si>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</si>
  <si>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</si>
  <si>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</si>
  <si>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</si>
  <si>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</si>
  <si>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</si>
  <si>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</si>
  <si>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</si>
  <si>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</si>
  <si>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</si>
  <si>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</si>
  <si>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</si>
  <si>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</si>
  <si>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</si>
  <si>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</si>
  <si>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61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</si>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</sst>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40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6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23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4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5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5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9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32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 customFormat="false" ht="15" hidden="false" customHeight="false" outlineLevel="0" collapsed="false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  <row r="97" customFormat="false" ht="15" hidden="false" customHeight="false" outlineLevel="0" collapsed="false">
      <c r="A97" s="15" t="n">
        <v>46299</v>
      </c>
      <c r="B97" s="16" t="n">
        <v>0</v>
      </c>
      <c r="C97" s="16" t="n">
        <v>4</v>
      </c>
      <c r="D97" s="16" t="n">
        <v>45</v>
      </c>
      <c r="E97" s="16" t="n">
        <v>2</v>
      </c>
      <c r="F97" s="16" t="n">
        <v>0</v>
      </c>
      <c r="G97" s="16" t="n">
        <v>1</v>
      </c>
      <c r="H97" s="16" t="n">
        <v>19</v>
      </c>
    </row>
    <row r="98" customFormat="false" ht="15" hidden="false" customHeight="false" outlineLevel="0" collapsed="false">
      <c r="A98" s="15" t="n">
        <v>46300</v>
      </c>
      <c r="B98" s="16" t="n">
        <v>51</v>
      </c>
      <c r="C98" s="16" t="n">
        <v>8</v>
      </c>
      <c r="D98" s="16" t="n">
        <v>197</v>
      </c>
      <c r="E98" s="16" t="n">
        <v>13</v>
      </c>
      <c r="F98" s="16" t="n">
        <v>0</v>
      </c>
      <c r="G98" s="16" t="n">
        <v>5</v>
      </c>
      <c r="H98" s="16" t="n">
        <v>143</v>
      </c>
    </row>
    <row r="99" customFormat="false" ht="15" hidden="false" customHeight="false" outlineLevel="0" collapsed="false">
      <c r="A99" s="15" t="n">
        <v>46301</v>
      </c>
      <c r="B99" s="16" t="n">
        <v>4</v>
      </c>
      <c r="C99" s="16" t="n">
        <v>38</v>
      </c>
      <c r="D99" s="16" t="n">
        <v>521</v>
      </c>
      <c r="E99" s="16" t="n">
        <v>71</v>
      </c>
      <c r="F99" s="16" t="n">
        <v>2</v>
      </c>
      <c r="G99" s="16" t="n">
        <v>3</v>
      </c>
      <c r="H99" s="16" t="n">
        <v>171</v>
      </c>
    </row>
    <row r="100" customFormat="false" ht="15" hidden="false" customHeight="false" outlineLevel="0" collapsed="false">
      <c r="A100" s="15" t="n">
        <v>46302</v>
      </c>
      <c r="B100" s="16" t="n">
        <v>8</v>
      </c>
      <c r="C100" s="16" t="n">
        <v>61</v>
      </c>
      <c r="D100" s="16" t="n">
        <v>307</v>
      </c>
      <c r="E100" s="16" t="n">
        <v>57</v>
      </c>
      <c r="F100" s="16" t="n">
        <v>2</v>
      </c>
      <c r="G100" s="16" t="n">
        <v>19</v>
      </c>
      <c r="H100" s="16" t="n">
        <v>112</v>
      </c>
    </row>
    <row r="101" customFormat="false" ht="15" hidden="false" customHeight="false" outlineLevel="0" collapsed="false">
      <c r="A101" s="15" t="n">
        <v>46303</v>
      </c>
      <c r="B101" s="16" t="n">
        <v>4</v>
      </c>
      <c r="C101" s="16" t="n">
        <v>9</v>
      </c>
      <c r="D101" s="16" t="n">
        <v>216</v>
      </c>
      <c r="E101" s="16" t="n">
        <v>8</v>
      </c>
      <c r="F101" s="16" t="n">
        <v>3</v>
      </c>
      <c r="G101" s="16" t="n">
        <v>6</v>
      </c>
      <c r="H101" s="16" t="n">
        <v>59</v>
      </c>
    </row>
    <row r="102" customFormat="false" ht="15" hidden="false" customHeight="false" outlineLevel="0" collapsed="false">
      <c r="A102" s="15" t="n">
        <v>46304</v>
      </c>
      <c r="B102" s="16" t="n">
        <v>2</v>
      </c>
      <c r="C102" s="16" t="n">
        <v>0</v>
      </c>
      <c r="D102" s="16" t="n">
        <v>39</v>
      </c>
      <c r="E102" s="16" t="n">
        <v>2</v>
      </c>
      <c r="F102" s="16" t="n">
        <v>0</v>
      </c>
      <c r="G102" s="16" t="n">
        <v>1</v>
      </c>
      <c r="H102" s="16" t="n">
        <v>6</v>
      </c>
    </row>
    <row r="103" customFormat="false" ht="15" hidden="false" customHeight="false" outlineLevel="0" collapsed="false">
      <c r="A103" s="15" t="n">
        <v>46305</v>
      </c>
      <c r="B103" s="16" t="n">
        <v>0</v>
      </c>
      <c r="C103" s="16" t="n">
        <v>0</v>
      </c>
      <c r="D103" s="16" t="n">
        <v>90</v>
      </c>
      <c r="E103" s="16" t="n">
        <v>0</v>
      </c>
      <c r="F103" s="16" t="n">
        <v>1</v>
      </c>
      <c r="G103" s="16" t="n">
        <v>0</v>
      </c>
      <c r="H103" s="16" t="n">
        <v>6</v>
      </c>
    </row>
    <row r="104" customFormat="false" ht="15" hidden="false" customHeight="false" outlineLevel="0" collapsed="false">
      <c r="A104" s="15" t="n">
        <v>46306</v>
      </c>
      <c r="B104" s="16" t="n">
        <v>0</v>
      </c>
      <c r="C104" s="16" t="n">
        <v>1</v>
      </c>
      <c r="D104" s="16" t="n">
        <v>34</v>
      </c>
      <c r="E104" s="16" t="n">
        <v>3</v>
      </c>
      <c r="F104" s="16" t="n">
        <v>0</v>
      </c>
      <c r="G104" s="16" t="n">
        <v>2</v>
      </c>
      <c r="H104" s="16" t="n">
        <v>9</v>
      </c>
    </row>
    <row r="105" customFormat="false" ht="15" hidden="false" customHeight="false" outlineLevel="0" collapsed="false">
      <c r="A105" s="15" t="n">
        <v>46307</v>
      </c>
      <c r="B105" s="16" t="n">
        <v>2</v>
      </c>
      <c r="C105" s="16" t="n">
        <v>26</v>
      </c>
      <c r="D105" s="16" t="n">
        <v>201</v>
      </c>
      <c r="E105" s="16" t="n">
        <v>82</v>
      </c>
      <c r="F105" s="16" t="n">
        <v>1</v>
      </c>
      <c r="G105" s="16" t="n">
        <v>6</v>
      </c>
      <c r="H105" s="16" t="n">
        <v>129</v>
      </c>
    </row>
    <row r="106" customFormat="false" ht="15" hidden="false" customHeight="false" outlineLevel="0" collapsed="false">
      <c r="A106" s="15" t="n">
        <v>46308</v>
      </c>
      <c r="B106" s="16" t="n">
        <v>3</v>
      </c>
      <c r="C106" s="16" t="n">
        <v>1</v>
      </c>
      <c r="D106" s="16" t="n">
        <v>71</v>
      </c>
      <c r="E106" s="16" t="n">
        <v>16</v>
      </c>
      <c r="F106" s="16" t="n">
        <v>0</v>
      </c>
      <c r="G106" s="16" t="n">
        <v>0</v>
      </c>
      <c r="H106" s="16" t="n">
        <v>9</v>
      </c>
    </row>
    <row r="107" customFormat="false" ht="15" hidden="false" customHeight="false" outlineLevel="0" collapsed="false">
      <c r="A107" s="15" t="n">
        <v>46309</v>
      </c>
      <c r="B107" s="16" t="n">
        <v>5</v>
      </c>
      <c r="C107" s="16" t="n">
        <v>0</v>
      </c>
      <c r="D107" s="16" t="n">
        <v>176</v>
      </c>
      <c r="E107" s="16" t="n">
        <v>56</v>
      </c>
      <c r="F107" s="16" t="n">
        <v>0</v>
      </c>
      <c r="G107" s="16"/>
      <c r="H107" s="16" t="n">
        <v>57</v>
      </c>
    </row>
    <row r="108" customFormat="false" ht="15" hidden="false" customHeight="false" outlineLevel="0" collapsed="false">
      <c r="A108" s="15" t="n">
        <v>46310</v>
      </c>
      <c r="B108" s="16" t="n">
        <v>2</v>
      </c>
      <c r="C108" s="16" t="n">
        <v>33</v>
      </c>
      <c r="D108" s="16" t="n">
        <v>141</v>
      </c>
      <c r="E108" s="16" t="n">
        <v>29</v>
      </c>
      <c r="F108" s="16" t="n">
        <v>4</v>
      </c>
      <c r="G108" s="16"/>
      <c r="H108" s="16" t="n">
        <v>141</v>
      </c>
    </row>
    <row r="109" customFormat="false" ht="15" hidden="false" customHeight="false" outlineLevel="0" collapsed="false">
      <c r="A109" s="15" t="n">
        <v>46311</v>
      </c>
      <c r="B109" s="16" t="n">
        <v>4</v>
      </c>
      <c r="C109" s="16" t="n">
        <v>5</v>
      </c>
      <c r="D109" s="16" t="n">
        <v>68</v>
      </c>
      <c r="E109" s="16" t="n">
        <v>10</v>
      </c>
      <c r="F109" s="16" t="n">
        <v>3</v>
      </c>
      <c r="G109" s="16"/>
      <c r="H109" s="16" t="n">
        <v>24</v>
      </c>
    </row>
    <row r="110" customFormat="false" ht="15" hidden="false" customHeight="false" outlineLevel="0" collapsed="false">
      <c r="A110" s="15" t="n">
        <v>46312</v>
      </c>
      <c r="B110" s="16" t="n">
        <v>3</v>
      </c>
      <c r="C110" s="16" t="n">
        <v>35</v>
      </c>
      <c r="D110" s="16" t="n">
        <v>116</v>
      </c>
      <c r="E110" s="16" t="n">
        <v>8</v>
      </c>
      <c r="F110" s="16" t="n">
        <v>0</v>
      </c>
      <c r="G110" s="16"/>
      <c r="H110" s="16" t="n">
        <v>128</v>
      </c>
    </row>
    <row r="111" customFormat="false" ht="15" hidden="false" customHeight="false" outlineLevel="0" collapsed="false">
      <c r="A111" s="15" t="n">
        <v>46313</v>
      </c>
      <c r="B111" s="16" t="n">
        <v>1</v>
      </c>
      <c r="C111" s="16" t="n">
        <v>9</v>
      </c>
      <c r="D111" s="16" t="n">
        <v>45</v>
      </c>
      <c r="E111" s="16" t="n">
        <v>35</v>
      </c>
      <c r="F111" s="16" t="n">
        <v>1</v>
      </c>
      <c r="G111" s="16"/>
      <c r="H111" s="16" t="n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 customFormat="false" ht="15" hidden="false" customHeight="false" outlineLevel="0" collapsed="false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  <row r="59" customFormat="false" ht="15" hidden="false" customHeight="false" outlineLevel="0" collapsed="false">
      <c r="A59" s="15" t="n">
        <v>46301</v>
      </c>
      <c r="B59" s="16" t="n">
        <v>116</v>
      </c>
      <c r="C59" s="16" t="n">
        <v>158</v>
      </c>
      <c r="D59" s="16" t="n">
        <v>4380</v>
      </c>
      <c r="E59" s="16" t="n">
        <v>366</v>
      </c>
      <c r="F59" s="16" t="n">
        <v>49</v>
      </c>
      <c r="G59" s="16" t="n">
        <v>33</v>
      </c>
      <c r="H59" s="16" t="n">
        <v>117</v>
      </c>
      <c r="I59" s="16" t="n">
        <v>2610</v>
      </c>
      <c r="J59" s="16" t="n">
        <v>102</v>
      </c>
      <c r="K59" s="16" t="n">
        <v>1253</v>
      </c>
      <c r="L59" s="16" t="n">
        <v>31</v>
      </c>
      <c r="M59" s="16" t="n">
        <v>37</v>
      </c>
      <c r="N59" s="16" t="n">
        <v>7</v>
      </c>
      <c r="O59" s="16" t="n">
        <v>940</v>
      </c>
    </row>
    <row r="60" customFormat="false" ht="15" hidden="false" customHeight="false" outlineLevel="0" collapsed="false">
      <c r="A60" s="15" t="n">
        <v>46302</v>
      </c>
      <c r="B60" s="16" t="n">
        <v>116</v>
      </c>
      <c r="C60" s="16" t="n">
        <v>201</v>
      </c>
      <c r="D60" s="16" t="n">
        <v>4418</v>
      </c>
      <c r="E60" s="16" t="n">
        <v>352</v>
      </c>
      <c r="F60" s="16" t="n">
        <v>49</v>
      </c>
      <c r="G60" s="16" t="n">
        <v>33</v>
      </c>
      <c r="H60" s="16" t="n">
        <v>119</v>
      </c>
      <c r="I60" s="16" t="n">
        <v>2707</v>
      </c>
      <c r="J60" s="16" t="n">
        <v>102</v>
      </c>
      <c r="K60" s="16" t="n">
        <v>1188</v>
      </c>
      <c r="L60" s="16" t="n">
        <v>29</v>
      </c>
      <c r="M60" s="16" t="n">
        <v>29</v>
      </c>
      <c r="N60" s="16" t="n">
        <v>7</v>
      </c>
      <c r="O60" s="16" t="n">
        <v>939</v>
      </c>
    </row>
    <row r="61" customFormat="false" ht="15" hidden="false" customHeight="false" outlineLevel="0" collapsed="false">
      <c r="A61" s="15" t="n">
        <v>46303</v>
      </c>
      <c r="B61" s="16" t="n">
        <v>116</v>
      </c>
      <c r="C61" s="16" t="n">
        <v>198</v>
      </c>
      <c r="D61" s="16" t="n">
        <v>4680</v>
      </c>
      <c r="E61" s="16" t="n">
        <v>393</v>
      </c>
      <c r="F61" s="16" t="n">
        <v>49</v>
      </c>
      <c r="G61" s="16" t="n">
        <v>35</v>
      </c>
      <c r="H61" s="16" t="n">
        <v>114</v>
      </c>
      <c r="I61" s="16" t="n">
        <v>2794</v>
      </c>
      <c r="J61" s="16" t="n">
        <v>120</v>
      </c>
      <c r="K61" s="16" t="n">
        <v>1220</v>
      </c>
      <c r="L61" s="16" t="n">
        <v>29</v>
      </c>
      <c r="M61" s="16" t="n">
        <v>29</v>
      </c>
      <c r="N61" s="16" t="n">
        <v>7</v>
      </c>
      <c r="O61" s="16" t="n">
        <v>681</v>
      </c>
    </row>
    <row r="62" customFormat="false" ht="15" hidden="false" customHeight="false" outlineLevel="0" collapsed="false">
      <c r="A62" s="15" t="n">
        <v>46304</v>
      </c>
      <c r="B62" s="16" t="n">
        <v>116</v>
      </c>
      <c r="C62" s="16" t="n">
        <v>197</v>
      </c>
      <c r="D62" s="16" t="n">
        <v>4362</v>
      </c>
      <c r="E62" s="16" t="n">
        <v>442</v>
      </c>
      <c r="F62" s="16" t="n">
        <v>49</v>
      </c>
      <c r="G62" s="16" t="n">
        <v>37</v>
      </c>
      <c r="H62" s="16" t="n">
        <v>117</v>
      </c>
      <c r="I62" s="16" t="n">
        <v>2466</v>
      </c>
      <c r="J62" s="16" t="n">
        <v>124</v>
      </c>
      <c r="K62" s="16" t="n">
        <v>1243</v>
      </c>
      <c r="L62" s="16" t="n">
        <v>30</v>
      </c>
      <c r="M62" s="16" t="n">
        <v>30</v>
      </c>
      <c r="N62" s="16" t="n">
        <v>7</v>
      </c>
      <c r="O62" s="16" t="n">
        <v>841</v>
      </c>
    </row>
    <row r="63" customFormat="false" ht="15" hidden="false" customHeight="false" outlineLevel="0" collapsed="false">
      <c r="A63" s="15" t="n">
        <v>46307</v>
      </c>
      <c r="B63" s="16" t="n">
        <v>116</v>
      </c>
      <c r="C63" s="16" t="n">
        <v>190</v>
      </c>
      <c r="D63" s="16" t="n">
        <v>4238</v>
      </c>
      <c r="E63" s="16" t="n">
        <v>431</v>
      </c>
      <c r="F63" s="16" t="n">
        <v>49</v>
      </c>
      <c r="G63" s="16" t="n">
        <v>38</v>
      </c>
      <c r="H63" s="16" t="n">
        <v>119</v>
      </c>
      <c r="I63" s="16" t="n">
        <v>2250</v>
      </c>
      <c r="J63" s="16" t="n">
        <v>128</v>
      </c>
      <c r="K63" s="16" t="n">
        <v>1404</v>
      </c>
      <c r="L63" s="16" t="n">
        <v>59</v>
      </c>
      <c r="M63" s="16" t="n">
        <v>44</v>
      </c>
      <c r="N63" s="16" t="n">
        <v>7</v>
      </c>
      <c r="O63" s="16" t="n">
        <v>846</v>
      </c>
    </row>
    <row r="64" customFormat="false" ht="15" hidden="false" customHeight="false" outlineLevel="0" collapsed="false">
      <c r="A64" s="15" t="n">
        <v>46308</v>
      </c>
      <c r="B64" s="16" t="n">
        <v>116</v>
      </c>
      <c r="C64" s="16" t="n">
        <v>190</v>
      </c>
      <c r="D64" s="16" t="n">
        <v>4156</v>
      </c>
      <c r="E64" s="16" t="n">
        <v>418</v>
      </c>
      <c r="F64" s="16" t="n">
        <v>49</v>
      </c>
      <c r="G64" s="16" t="n">
        <v>38</v>
      </c>
      <c r="H64" s="16" t="n">
        <v>119</v>
      </c>
      <c r="I64" s="16" t="n">
        <v>2218</v>
      </c>
      <c r="J64" s="16" t="n">
        <v>131</v>
      </c>
      <c r="K64" s="16" t="n">
        <v>1103</v>
      </c>
      <c r="L64" s="16" t="n">
        <v>58</v>
      </c>
      <c r="M64" s="16" t="n">
        <v>41</v>
      </c>
      <c r="N64" s="16" t="n">
        <v>7</v>
      </c>
      <c r="O64" s="16" t="n">
        <v>842</v>
      </c>
    </row>
    <row r="65" customFormat="false" ht="15" hidden="false" customHeight="false" outlineLevel="0" collapsed="false">
      <c r="A65" s="15" t="n">
        <v>46309</v>
      </c>
      <c r="B65" s="16" t="n">
        <v>116</v>
      </c>
      <c r="C65" s="16" t="n">
        <v>184</v>
      </c>
      <c r="D65" s="16" t="n">
        <v>4139</v>
      </c>
      <c r="E65" s="16" t="n">
        <v>493</v>
      </c>
      <c r="F65" s="16" t="n">
        <v>49</v>
      </c>
      <c r="G65" s="16" t="n">
        <v>39</v>
      </c>
      <c r="H65" s="16" t="n">
        <v>120</v>
      </c>
      <c r="I65" s="16" t="n">
        <v>2169</v>
      </c>
      <c r="J65" s="16" t="n">
        <v>132</v>
      </c>
      <c r="K65" s="16" t="n">
        <v>1090</v>
      </c>
      <c r="L65" s="16" t="n">
        <v>59</v>
      </c>
      <c r="M65" s="16" t="n">
        <v>41</v>
      </c>
      <c r="N65" s="16" t="n">
        <v>7</v>
      </c>
      <c r="O65" s="16" t="n">
        <v>842</v>
      </c>
    </row>
    <row r="66" customFormat="false" ht="15" hidden="false" customHeight="false" outlineLevel="0" collapsed="false">
      <c r="A66" s="15" t="n">
        <v>46310</v>
      </c>
      <c r="B66" s="16" t="n">
        <v>116</v>
      </c>
      <c r="C66" s="16" t="n">
        <v>181</v>
      </c>
      <c r="D66" s="16" t="n">
        <v>3995</v>
      </c>
      <c r="E66" s="16" t="n">
        <v>432</v>
      </c>
      <c r="F66" s="16" t="n">
        <v>49</v>
      </c>
      <c r="G66" s="16" t="n">
        <v>36</v>
      </c>
      <c r="H66" s="16" t="n">
        <v>85</v>
      </c>
      <c r="I66" s="16" t="n">
        <v>1868</v>
      </c>
      <c r="J66" s="16" t="n">
        <v>133</v>
      </c>
      <c r="K66" s="16" t="n">
        <v>1108</v>
      </c>
      <c r="L66" s="16" t="n">
        <v>60</v>
      </c>
      <c r="M66" s="16" t="n">
        <v>37</v>
      </c>
      <c r="N66" s="16" t="n">
        <v>7</v>
      </c>
      <c r="O66" s="16" t="n">
        <v>721</v>
      </c>
    </row>
    <row r="67" customFormat="false" ht="15" hidden="false" customHeight="false" outlineLevel="0" collapsed="false">
      <c r="A67" s="15" t="n">
        <v>46311</v>
      </c>
      <c r="B67" s="16" t="n">
        <v>116</v>
      </c>
      <c r="C67" s="16" t="n">
        <v>176</v>
      </c>
      <c r="D67" s="16" t="n">
        <v>4074</v>
      </c>
      <c r="E67" s="16" t="n">
        <v>475</v>
      </c>
      <c r="F67" s="16" t="n">
        <v>49</v>
      </c>
      <c r="G67" s="16" t="n">
        <v>36</v>
      </c>
      <c r="H67" s="16" t="n">
        <v>82</v>
      </c>
      <c r="I67" s="16" t="n">
        <v>1823</v>
      </c>
      <c r="J67" s="16"/>
      <c r="K67" s="16"/>
      <c r="L67" s="16"/>
      <c r="M67" s="16"/>
      <c r="N67" s="16" t="n">
        <v>7</v>
      </c>
      <c r="O67" s="16" t="n">
        <v>718</v>
      </c>
    </row>
    <row r="68" customFormat="false" ht="15" hidden="false" customHeight="false" outlineLevel="0" collapsed="false">
      <c r="A68" s="15" t="n">
        <v>46313</v>
      </c>
      <c r="B68" s="16" t="n">
        <v>116</v>
      </c>
      <c r="C68" s="16" t="n">
        <v>171</v>
      </c>
      <c r="D68" s="16" t="n">
        <v>3891</v>
      </c>
      <c r="E68" s="16" t="n">
        <v>462</v>
      </c>
      <c r="F68" s="16" t="n">
        <v>49</v>
      </c>
      <c r="G68" s="16" t="n">
        <v>43</v>
      </c>
      <c r="H68" s="16" t="n">
        <v>175</v>
      </c>
      <c r="I68" s="16" t="n">
        <v>1665</v>
      </c>
      <c r="J68" s="16" t="n">
        <v>136</v>
      </c>
      <c r="K68" s="16" t="n">
        <v>1299</v>
      </c>
      <c r="L68" s="16" t="n">
        <v>79</v>
      </c>
      <c r="M68" s="16" t="n">
        <v>38</v>
      </c>
      <c r="N68" s="16" t="n">
        <v>7</v>
      </c>
      <c r="O68" s="16" t="n">
        <v>586</v>
      </c>
    </row>
    <row r="69" customFormat="false" ht="15" hidden="false" customHeight="false" outlineLevel="0" collapsed="false">
      <c r="A69" s="15" t="n">
        <v>46315</v>
      </c>
      <c r="B69" s="16" t="n">
        <v>117</v>
      </c>
      <c r="C69" s="16" t="n">
        <v>173</v>
      </c>
      <c r="D69" s="16" t="n">
        <v>3981</v>
      </c>
      <c r="E69" s="16" t="n">
        <v>490</v>
      </c>
      <c r="F69" s="16" t="n">
        <v>49</v>
      </c>
      <c r="G69" s="16" t="n">
        <v>44</v>
      </c>
      <c r="H69" s="16" t="n">
        <v>285</v>
      </c>
      <c r="I69" s="16" t="n">
        <v>1775</v>
      </c>
      <c r="J69" s="16" t="n">
        <v>138</v>
      </c>
      <c r="K69" s="16" t="n">
        <v>1278</v>
      </c>
      <c r="L69" s="16" t="n">
        <v>82</v>
      </c>
      <c r="M69" s="16" t="n">
        <v>37</v>
      </c>
      <c r="N69" s="16" t="n">
        <v>7</v>
      </c>
      <c r="O69" s="16" t="n">
        <v>780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 customFormat="false" ht="15" hidden="false" customHeight="false" outlineLevel="0" collapsed="false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  <row r="59" customFormat="false" ht="15" hidden="false" customHeight="false" outlineLevel="0" collapsed="false">
      <c r="A59" s="15" t="n">
        <v>46301</v>
      </c>
      <c r="B59" s="16" t="n">
        <v>13</v>
      </c>
      <c r="C59" s="16" t="n">
        <v>918</v>
      </c>
      <c r="D59" s="16" t="n">
        <v>882</v>
      </c>
      <c r="E59" s="19" t="n">
        <v>34.22</v>
      </c>
      <c r="F59" s="16" t="n">
        <v>7</v>
      </c>
      <c r="G59" s="16" t="n">
        <v>599</v>
      </c>
      <c r="H59" s="16" t="n">
        <v>417</v>
      </c>
      <c r="I59" s="16" t="n">
        <v>22</v>
      </c>
      <c r="J59" s="19" t="n">
        <v>2.9</v>
      </c>
      <c r="K59" s="16" t="n">
        <v>763</v>
      </c>
      <c r="L59" s="19" t="n">
        <v>19.6</v>
      </c>
      <c r="M59" s="16" t="n">
        <v>83</v>
      </c>
      <c r="N59" s="16" t="n">
        <v>119</v>
      </c>
      <c r="O59" s="16" t="n">
        <v>333</v>
      </c>
    </row>
    <row r="60" customFormat="false" ht="15" hidden="false" customHeight="false" outlineLevel="0" collapsed="false">
      <c r="A60" s="15" t="n">
        <v>46302</v>
      </c>
      <c r="B60" s="16" t="n">
        <v>13</v>
      </c>
      <c r="C60" s="16" t="n">
        <v>918</v>
      </c>
      <c r="D60" s="16" t="n">
        <v>882</v>
      </c>
      <c r="E60" s="19" t="n">
        <v>32.17</v>
      </c>
      <c r="F60" s="16" t="n">
        <v>7</v>
      </c>
      <c r="G60" s="16" t="n">
        <v>600</v>
      </c>
      <c r="H60" s="16" t="n">
        <v>421</v>
      </c>
      <c r="I60" s="16" t="n">
        <v>22</v>
      </c>
      <c r="J60" s="19" t="n">
        <v>2.9</v>
      </c>
      <c r="K60" s="16" t="n">
        <v>748</v>
      </c>
      <c r="L60" s="19" t="n">
        <v>19.1</v>
      </c>
      <c r="M60" s="16" t="n">
        <v>82</v>
      </c>
      <c r="N60" s="16" t="n">
        <v>119</v>
      </c>
      <c r="O60" s="16" t="n">
        <v>338</v>
      </c>
    </row>
    <row r="61" customFormat="false" ht="15" hidden="false" customHeight="false" outlineLevel="0" collapsed="false">
      <c r="A61" s="15" t="n">
        <v>46303</v>
      </c>
      <c r="B61" s="16" t="n">
        <v>12</v>
      </c>
      <c r="C61" s="16" t="n">
        <v>917</v>
      </c>
      <c r="D61" s="16" t="n">
        <v>881</v>
      </c>
      <c r="E61" s="19" t="n">
        <v>31.01</v>
      </c>
      <c r="F61" s="16" t="n">
        <v>7</v>
      </c>
      <c r="G61" s="16" t="n">
        <v>616</v>
      </c>
      <c r="H61" s="16" t="n">
        <v>432</v>
      </c>
      <c r="I61" s="16" t="n">
        <v>22</v>
      </c>
      <c r="J61" s="19" t="n">
        <v>2.9</v>
      </c>
      <c r="K61" s="16" t="n">
        <v>748</v>
      </c>
      <c r="L61" s="19" t="n">
        <v>19.1</v>
      </c>
      <c r="M61" s="16" t="n">
        <v>82</v>
      </c>
      <c r="N61" s="16" t="n">
        <v>119</v>
      </c>
      <c r="O61" s="16" t="n">
        <v>308</v>
      </c>
    </row>
    <row r="62" customFormat="false" ht="15" hidden="false" customHeight="false" outlineLevel="0" collapsed="false">
      <c r="A62" s="15" t="n">
        <v>46304</v>
      </c>
      <c r="B62" s="16" t="n">
        <v>12</v>
      </c>
      <c r="C62" s="16" t="n">
        <v>917</v>
      </c>
      <c r="D62" s="16" t="n">
        <v>881</v>
      </c>
      <c r="E62" s="19" t="n">
        <v>34.02</v>
      </c>
      <c r="F62" s="16" t="n">
        <v>7</v>
      </c>
      <c r="G62" s="16" t="n">
        <v>635</v>
      </c>
      <c r="H62" s="16" t="n">
        <v>440</v>
      </c>
      <c r="I62" s="16" t="n">
        <v>19</v>
      </c>
      <c r="J62" s="19" t="n">
        <v>2.8</v>
      </c>
      <c r="K62" s="16" t="n">
        <v>673</v>
      </c>
      <c r="L62" s="19" t="n">
        <v>14.6</v>
      </c>
      <c r="M62" s="16" t="n">
        <v>78</v>
      </c>
      <c r="N62" s="16" t="n">
        <v>119</v>
      </c>
      <c r="O62" s="16" t="n">
        <v>327</v>
      </c>
    </row>
    <row r="63" customFormat="false" ht="15" hidden="false" customHeight="false" outlineLevel="0" collapsed="false">
      <c r="A63" s="15" t="n">
        <v>46307</v>
      </c>
      <c r="B63" s="16" t="n">
        <v>13</v>
      </c>
      <c r="C63" s="16" t="n">
        <v>917</v>
      </c>
      <c r="D63" s="16" t="n">
        <v>881</v>
      </c>
      <c r="E63" s="19" t="n">
        <v>34.78</v>
      </c>
      <c r="F63" s="16" t="n">
        <v>7</v>
      </c>
      <c r="G63" s="16" t="n">
        <v>644</v>
      </c>
      <c r="H63" s="16" t="n">
        <v>437</v>
      </c>
      <c r="I63" s="16" t="n">
        <v>22</v>
      </c>
      <c r="J63" s="19" t="n">
        <v>3.3</v>
      </c>
      <c r="K63" s="16" t="n">
        <v>673</v>
      </c>
      <c r="L63" s="16" t="n">
        <v>12</v>
      </c>
      <c r="M63" s="16" t="n">
        <v>69</v>
      </c>
      <c r="N63" s="16" t="n">
        <v>119</v>
      </c>
      <c r="O63" s="16" t="n">
        <v>313</v>
      </c>
    </row>
    <row r="64" customFormat="false" ht="15" hidden="false" customHeight="false" outlineLevel="0" collapsed="false">
      <c r="A64" s="15" t="n">
        <v>46308</v>
      </c>
      <c r="B64" s="16" t="n">
        <v>14</v>
      </c>
      <c r="C64" s="16" t="n">
        <v>917</v>
      </c>
      <c r="D64" s="16" t="n">
        <v>881</v>
      </c>
      <c r="E64" s="19" t="n">
        <v>35.91</v>
      </c>
      <c r="F64" s="16" t="n">
        <v>7</v>
      </c>
      <c r="G64" s="16" t="n">
        <v>660</v>
      </c>
      <c r="H64" s="16" t="n">
        <v>443</v>
      </c>
      <c r="I64" s="16" t="n">
        <v>24</v>
      </c>
      <c r="J64" s="19" t="n">
        <v>3.6</v>
      </c>
      <c r="K64" s="16" t="n">
        <v>673</v>
      </c>
      <c r="L64" s="16" t="n">
        <v>12</v>
      </c>
      <c r="M64" s="16" t="n">
        <v>68</v>
      </c>
      <c r="N64" s="16" t="n">
        <v>119</v>
      </c>
      <c r="O64" s="16" t="n">
        <v>316</v>
      </c>
    </row>
    <row r="65" customFormat="false" ht="15" hidden="false" customHeight="false" outlineLevel="0" collapsed="false">
      <c r="A65" s="15" t="n">
        <v>46309</v>
      </c>
      <c r="B65" s="16" t="n">
        <v>14</v>
      </c>
      <c r="C65" s="16" t="n">
        <v>915</v>
      </c>
      <c r="D65" s="16" t="n">
        <v>879</v>
      </c>
      <c r="E65" s="19" t="n">
        <v>36.76</v>
      </c>
      <c r="F65" s="16" t="n">
        <v>7</v>
      </c>
      <c r="G65" s="16" t="n">
        <v>672</v>
      </c>
      <c r="H65" s="16" t="n">
        <v>448</v>
      </c>
      <c r="I65" s="16" t="n">
        <v>23</v>
      </c>
      <c r="J65" s="19" t="n">
        <v>3.4</v>
      </c>
      <c r="K65" s="16" t="n">
        <v>672</v>
      </c>
      <c r="L65" s="19" t="n">
        <v>12.1</v>
      </c>
      <c r="M65" s="16" t="n">
        <v>67</v>
      </c>
      <c r="N65" s="16" t="n">
        <v>119</v>
      </c>
      <c r="O65" s="16" t="n">
        <v>317</v>
      </c>
    </row>
    <row r="66" customFormat="false" ht="15" hidden="false" customHeight="false" outlineLevel="0" collapsed="false">
      <c r="A66" s="15" t="n">
        <v>46310</v>
      </c>
      <c r="B66" s="16" t="n">
        <v>14</v>
      </c>
      <c r="C66" s="16" t="n">
        <v>913</v>
      </c>
      <c r="D66" s="16" t="n">
        <v>877</v>
      </c>
      <c r="E66" s="19" t="n">
        <v>37.77</v>
      </c>
      <c r="F66" s="16" t="n">
        <v>9</v>
      </c>
      <c r="G66" s="16" t="n">
        <v>683</v>
      </c>
      <c r="H66" s="16" t="n">
        <v>454</v>
      </c>
      <c r="I66" s="16" t="n">
        <v>25</v>
      </c>
      <c r="J66" s="19" t="n">
        <v>3.4</v>
      </c>
      <c r="K66" s="16" t="n">
        <v>730</v>
      </c>
      <c r="L66" s="19" t="n">
        <v>12.3</v>
      </c>
      <c r="M66" s="16" t="n">
        <v>76</v>
      </c>
      <c r="N66" s="16" t="n">
        <v>119</v>
      </c>
      <c r="O66" s="16" t="n">
        <v>325</v>
      </c>
    </row>
    <row r="67" customFormat="false" ht="15" hidden="false" customHeight="false" outlineLevel="0" collapsed="false">
      <c r="A67" s="15" t="n">
        <v>46311</v>
      </c>
      <c r="B67" s="16" t="n">
        <v>15</v>
      </c>
      <c r="C67" s="16" t="n">
        <v>912</v>
      </c>
      <c r="D67" s="16" t="n">
        <v>876</v>
      </c>
      <c r="E67" s="19" t="n">
        <v>37.82</v>
      </c>
      <c r="F67" s="16" t="n">
        <v>9</v>
      </c>
      <c r="G67" s="16" t="n">
        <v>706</v>
      </c>
      <c r="H67" s="16" t="n">
        <v>461</v>
      </c>
      <c r="I67" s="16" t="n">
        <v>25</v>
      </c>
      <c r="J67" s="19" t="n">
        <v>3.5</v>
      </c>
      <c r="K67" s="16" t="n">
        <v>707</v>
      </c>
      <c r="L67" s="19" t="n">
        <v>12.1</v>
      </c>
      <c r="M67" s="16" t="n">
        <v>75</v>
      </c>
      <c r="N67" s="16" t="n">
        <v>119</v>
      </c>
      <c r="O67" s="16" t="n">
        <v>335</v>
      </c>
    </row>
    <row r="68" customFormat="false" ht="15" hidden="false" customHeight="false" outlineLevel="0" collapsed="false">
      <c r="A68" s="15" t="n">
        <v>46313</v>
      </c>
      <c r="B68" s="16" t="n">
        <v>17</v>
      </c>
      <c r="C68" s="16" t="n">
        <v>912</v>
      </c>
      <c r="D68" s="16" t="n">
        <v>876</v>
      </c>
      <c r="E68" s="19" t="n">
        <v>39.18</v>
      </c>
      <c r="F68" s="16" t="n">
        <v>9</v>
      </c>
      <c r="G68" s="16" t="n">
        <v>679</v>
      </c>
      <c r="H68" s="16" t="n">
        <v>433</v>
      </c>
      <c r="I68" s="16" t="n">
        <v>26</v>
      </c>
      <c r="J68" s="19" t="n">
        <v>3.2</v>
      </c>
      <c r="K68" s="16" t="n">
        <v>816</v>
      </c>
      <c r="L68" s="19" t="n">
        <v>15.2</v>
      </c>
      <c r="M68" s="16" t="n">
        <v>83</v>
      </c>
      <c r="N68" s="16" t="n">
        <v>119</v>
      </c>
      <c r="O68" s="16" t="n">
        <v>325</v>
      </c>
    </row>
    <row r="69" customFormat="false" ht="15" hidden="false" customHeight="false" outlineLevel="0" collapsed="false">
      <c r="A69" s="15" t="n">
        <v>46315</v>
      </c>
      <c r="B69" s="16" t="n">
        <v>18</v>
      </c>
      <c r="C69" s="16" t="n">
        <v>912</v>
      </c>
      <c r="D69" s="16" t="n">
        <v>876</v>
      </c>
      <c r="E69" s="19" t="n">
        <v>40.27</v>
      </c>
      <c r="F69" s="16" t="n">
        <v>9</v>
      </c>
      <c r="G69" s="16" t="n">
        <v>673</v>
      </c>
      <c r="H69" s="16" t="n">
        <v>425</v>
      </c>
      <c r="I69" s="16" t="n">
        <v>26</v>
      </c>
      <c r="J69" s="19" t="n">
        <v>2.7</v>
      </c>
      <c r="K69" s="16" t="n">
        <v>951</v>
      </c>
      <c r="L69" s="19" t="n">
        <v>17.6</v>
      </c>
      <c r="M69" s="16" t="n">
        <v>90</v>
      </c>
      <c r="N69" s="16" t="n">
        <v>119</v>
      </c>
      <c r="O69" s="16" t="n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 customFormat="false" ht="15" hidden="false" customHeight="false" outlineLevel="0" collapsed="false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  <row r="56" customFormat="false" ht="15" hidden="false" customHeight="false" outlineLevel="0" collapsed="false">
      <c r="A56" s="15" t="n">
        <v>46301</v>
      </c>
      <c r="B56" s="16" t="n">
        <v>93</v>
      </c>
      <c r="C56" s="16" t="n">
        <v>99</v>
      </c>
      <c r="D56" s="16" t="n">
        <v>97</v>
      </c>
      <c r="E56" s="16" t="n">
        <v>94</v>
      </c>
      <c r="F56" s="16" t="n">
        <v>118</v>
      </c>
      <c r="G56" s="16" t="n">
        <v>98</v>
      </c>
      <c r="H56" s="16" t="n">
        <v>119</v>
      </c>
      <c r="I56" s="16" t="n">
        <v>98</v>
      </c>
      <c r="J56" s="16" t="n">
        <v>333</v>
      </c>
      <c r="K56" s="19" t="n">
        <v>282.5</v>
      </c>
      <c r="L56" s="16" t="n">
        <v>241675</v>
      </c>
    </row>
    <row r="57" customFormat="false" ht="15" hidden="false" customHeight="false" outlineLevel="0" collapsed="false">
      <c r="A57" s="15" t="n">
        <v>46302</v>
      </c>
      <c r="B57" s="16" t="n">
        <v>93</v>
      </c>
      <c r="C57" s="16" t="n">
        <v>98</v>
      </c>
      <c r="D57" s="16" t="n">
        <v>97</v>
      </c>
      <c r="E57" s="16" t="n">
        <v>94</v>
      </c>
      <c r="F57" s="16" t="n">
        <v>118</v>
      </c>
      <c r="G57" s="16" t="n">
        <v>98</v>
      </c>
      <c r="H57" s="16" t="n">
        <v>119</v>
      </c>
      <c r="I57" s="16" t="n">
        <v>98</v>
      </c>
      <c r="J57" s="16" t="n">
        <v>338</v>
      </c>
      <c r="K57" s="19" t="n">
        <v>277.5</v>
      </c>
      <c r="L57" s="16" t="n">
        <v>241675</v>
      </c>
    </row>
    <row r="58" customFormat="false" ht="15" hidden="false" customHeight="false" outlineLevel="0" collapsed="false">
      <c r="A58" s="15" t="n">
        <v>46303</v>
      </c>
      <c r="B58" s="16" t="n">
        <v>93</v>
      </c>
      <c r="C58" s="16" t="n">
        <v>99</v>
      </c>
      <c r="D58" s="16" t="n">
        <v>97</v>
      </c>
      <c r="E58" s="16" t="n">
        <v>94</v>
      </c>
      <c r="F58" s="16" t="n">
        <v>118</v>
      </c>
      <c r="G58" s="16" t="n">
        <v>98</v>
      </c>
      <c r="H58" s="16" t="n">
        <v>119</v>
      </c>
      <c r="I58" s="16" t="n">
        <v>98</v>
      </c>
      <c r="J58" s="16" t="n">
        <v>308</v>
      </c>
      <c r="K58" s="19" t="n">
        <v>264.5</v>
      </c>
      <c r="L58" s="16" t="n">
        <v>241675</v>
      </c>
    </row>
    <row r="59" customFormat="false" ht="15" hidden="false" customHeight="false" outlineLevel="0" collapsed="false">
      <c r="A59" s="15" t="n">
        <v>46304</v>
      </c>
      <c r="B59" s="16" t="n">
        <v>93</v>
      </c>
      <c r="C59" s="16" t="n">
        <v>98</v>
      </c>
      <c r="D59" s="16" t="n">
        <v>97</v>
      </c>
      <c r="E59" s="16" t="n">
        <v>94</v>
      </c>
      <c r="F59" s="16" t="n">
        <v>118</v>
      </c>
      <c r="G59" s="16" t="n">
        <v>98</v>
      </c>
      <c r="H59" s="16" t="n">
        <v>119</v>
      </c>
      <c r="I59" s="16" t="n">
        <v>98</v>
      </c>
      <c r="J59" s="16" t="n">
        <v>327</v>
      </c>
      <c r="K59" s="16" t="n">
        <v>270</v>
      </c>
      <c r="L59" s="16" t="n">
        <v>241675</v>
      </c>
    </row>
    <row r="60" customFormat="false" ht="15" hidden="false" customHeight="false" outlineLevel="0" collapsed="false">
      <c r="A60" s="15" t="n">
        <v>46307</v>
      </c>
      <c r="B60" s="16" t="n">
        <v>93</v>
      </c>
      <c r="C60" s="16" t="n">
        <v>99</v>
      </c>
      <c r="D60" s="16" t="n">
        <v>97</v>
      </c>
      <c r="E60" s="16" t="n">
        <v>94</v>
      </c>
      <c r="F60" s="16" t="n">
        <v>118</v>
      </c>
      <c r="G60" s="16" t="n">
        <v>98</v>
      </c>
      <c r="H60" s="16" t="n">
        <v>119</v>
      </c>
      <c r="I60" s="16" t="n">
        <v>98</v>
      </c>
      <c r="J60" s="19" t="n">
        <v>313.2</v>
      </c>
      <c r="K60" s="19" t="n">
        <v>269.5</v>
      </c>
      <c r="L60" s="16" t="n">
        <v>241675</v>
      </c>
    </row>
    <row r="61" customFormat="false" ht="15" hidden="false" customHeight="false" outlineLevel="0" collapsed="false">
      <c r="A61" s="15" t="n">
        <v>46308</v>
      </c>
      <c r="B61" s="16" t="n">
        <v>93</v>
      </c>
      <c r="C61" s="16" t="n">
        <v>98</v>
      </c>
      <c r="D61" s="16" t="n">
        <v>97</v>
      </c>
      <c r="E61" s="16" t="n">
        <v>94</v>
      </c>
      <c r="F61" s="16" t="n">
        <v>118</v>
      </c>
      <c r="G61" s="16" t="n">
        <v>98</v>
      </c>
      <c r="H61" s="16" t="n">
        <v>119</v>
      </c>
      <c r="I61" s="16" t="n">
        <v>98</v>
      </c>
      <c r="J61" s="19" t="n">
        <v>315.9</v>
      </c>
      <c r="K61" s="16" t="n">
        <v>261</v>
      </c>
      <c r="L61" s="16" t="n">
        <v>242620</v>
      </c>
    </row>
    <row r="62" customFormat="false" ht="15" hidden="false" customHeight="false" outlineLevel="0" collapsed="false">
      <c r="A62" s="15" t="n">
        <v>46309</v>
      </c>
      <c r="B62" s="16" t="n">
        <v>93</v>
      </c>
      <c r="C62" s="16" t="n">
        <v>98</v>
      </c>
      <c r="D62" s="16" t="n">
        <v>97</v>
      </c>
      <c r="E62" s="16" t="n">
        <v>93</v>
      </c>
      <c r="F62" s="16" t="n">
        <v>118</v>
      </c>
      <c r="G62" s="16" t="n">
        <v>98</v>
      </c>
      <c r="H62" s="16" t="n">
        <v>119</v>
      </c>
      <c r="I62" s="16" t="n">
        <v>98</v>
      </c>
      <c r="J62" s="19" t="n">
        <v>317.4</v>
      </c>
      <c r="K62" s="19" t="n">
        <v>267.5</v>
      </c>
      <c r="L62" s="16" t="n">
        <v>241898</v>
      </c>
    </row>
    <row r="63" customFormat="false" ht="15" hidden="false" customHeight="false" outlineLevel="0" collapsed="false">
      <c r="A63" s="15" t="n">
        <v>46310</v>
      </c>
      <c r="B63" s="16" t="n">
        <v>93</v>
      </c>
      <c r="C63" s="16" t="n">
        <v>98</v>
      </c>
      <c r="D63" s="16" t="n">
        <v>96</v>
      </c>
      <c r="E63" s="16" t="n">
        <v>93</v>
      </c>
      <c r="F63" s="16" t="n">
        <v>118</v>
      </c>
      <c r="G63" s="16" t="n">
        <v>97</v>
      </c>
      <c r="H63" s="16" t="n">
        <v>119</v>
      </c>
      <c r="I63" s="16" t="n">
        <v>98</v>
      </c>
      <c r="J63" s="19" t="n">
        <v>324.9</v>
      </c>
      <c r="K63" s="16" t="n">
        <v>269</v>
      </c>
      <c r="L63" s="16" t="n">
        <v>242263</v>
      </c>
    </row>
    <row r="64" customFormat="false" ht="15" hidden="false" customHeight="false" outlineLevel="0" collapsed="false">
      <c r="A64" s="15" t="n">
        <v>46311</v>
      </c>
      <c r="B64" s="16" t="n">
        <v>93</v>
      </c>
      <c r="C64" s="16" t="n">
        <v>98</v>
      </c>
      <c r="D64" s="16" t="n">
        <v>96</v>
      </c>
      <c r="E64" s="16" t="n">
        <v>93</v>
      </c>
      <c r="F64" s="16" t="n">
        <v>118</v>
      </c>
      <c r="G64" s="16" t="n">
        <v>97</v>
      </c>
      <c r="H64" s="16" t="n">
        <v>119</v>
      </c>
      <c r="I64" s="16" t="n">
        <v>98</v>
      </c>
      <c r="J64" s="19" t="n">
        <v>335.3</v>
      </c>
      <c r="K64" s="16" t="n">
        <v>266</v>
      </c>
      <c r="L64" s="16" t="n">
        <v>242263</v>
      </c>
    </row>
    <row r="65" customFormat="false" ht="15" hidden="false" customHeight="false" outlineLevel="0" collapsed="false">
      <c r="A65" s="15" t="n">
        <v>46313</v>
      </c>
      <c r="B65" s="16" t="n">
        <v>93</v>
      </c>
      <c r="C65" s="16" t="n">
        <v>98</v>
      </c>
      <c r="D65" s="16" t="n">
        <v>97</v>
      </c>
      <c r="E65" s="16" t="n">
        <v>93</v>
      </c>
      <c r="F65" s="16" t="n">
        <v>118</v>
      </c>
      <c r="G65" s="16" t="n">
        <v>98</v>
      </c>
      <c r="H65" s="16" t="n">
        <v>119</v>
      </c>
      <c r="I65" s="16" t="n">
        <v>98</v>
      </c>
      <c r="J65" s="19" t="n">
        <v>324.9</v>
      </c>
      <c r="K65" s="19" t="n">
        <v>266.5</v>
      </c>
      <c r="L65" s="16" t="n">
        <v>242263</v>
      </c>
    </row>
    <row r="66" customFormat="false" ht="15" hidden="false" customHeight="false" outlineLevel="0" collapsed="false">
      <c r="A66" s="15" t="n">
        <v>46315</v>
      </c>
      <c r="B66" s="16" t="n">
        <v>93</v>
      </c>
      <c r="C66" s="16" t="n">
        <v>98</v>
      </c>
      <c r="D66" s="16" t="n">
        <v>97</v>
      </c>
      <c r="E66" s="16" t="n">
        <v>93</v>
      </c>
      <c r="F66" s="16" t="n">
        <v>118</v>
      </c>
      <c r="G66" s="16" t="n">
        <v>98</v>
      </c>
      <c r="H66" s="16" t="n">
        <v>119</v>
      </c>
      <c r="I66" s="16" t="n">
        <v>98</v>
      </c>
      <c r="J66" s="19" t="n">
        <v>301.8</v>
      </c>
      <c r="K66" s="16" t="n">
        <v>247</v>
      </c>
      <c r="L66" s="16" t="n">
        <v>242263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ngày'!B6:B111,'Social — theo ngày'!$A$6:$A$111,"&gt;="&amp;DATE(2026,7,1),'Social — theo ngày'!$A$6:$A$111,"&lt;="&amp;DATE(2026,7,31))</f>
        <v>125</v>
      </c>
      <c r="C7" s="16" t="n">
        <f aca="false">SUMIFS('Social — theo ngày'!B6:B111,'Social — theo ngày'!$A$6:$A$111,"&gt;="&amp;DATE(2026,8,1),'Social — theo ngày'!$A$6:$A$111,"&lt;="&amp;DATE(2026,8,31))</f>
        <v>195</v>
      </c>
      <c r="D7" s="16" t="n">
        <f aca="false">SUMIFS('Social — theo ngày'!B6:B111,'Social — theo ngày'!$A$6:$A$111,"&gt;="&amp;DATE(2026,9,1),'Social — theo ngày'!$A$6:$A$111,"&lt;="&amp;DATE(2026,9,30))</f>
        <v>160</v>
      </c>
      <c r="E7" s="16" t="n">
        <f aca="false">SUMIFS('Social — theo ngày'!B6:B111,'Social — theo ngày'!$A$6:$A$111,"&gt;="&amp;DATE(2026,10,1),'Social — theo ngày'!$A$6:$A$111,"&lt;="&amp;DATE(2026,10,31))</f>
        <v>112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ngày'!C6:C111,'Social — theo ngày'!$A$6:$A$111,"&gt;="&amp;DATE(2026,7,1),'Social — theo ngày'!$A$6:$A$111,"&lt;="&amp;DATE(2026,7,31))</f>
        <v>106</v>
      </c>
      <c r="C8" s="16" t="n">
        <f aca="false">SUMIFS('Social — theo ngày'!C6:C111,'Social — theo ngày'!$A$6:$A$111,"&gt;="&amp;DATE(2026,8,1),'Social — theo ngày'!$A$6:$A$111,"&lt;="&amp;DATE(2026,8,31))</f>
        <v>147</v>
      </c>
      <c r="D8" s="16" t="n">
        <f aca="false">SUMIFS('Social — theo ngày'!C6:C111,'Social — theo ngày'!$A$6:$A$111,"&gt;="&amp;DATE(2026,9,1),'Social — theo ngày'!$A$6:$A$111,"&lt;="&amp;DATE(2026,9,30))</f>
        <v>354</v>
      </c>
      <c r="E8" s="16" t="n">
        <f aca="false">SUMIFS('Social — theo ngày'!C6:C111,'Social — theo ngày'!$A$6:$A$111,"&gt;="&amp;DATE(2026,10,1),'Social — theo ngày'!$A$6:$A$111,"&lt;="&amp;DATE(2026,10,31))</f>
        <v>326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ngày'!D6:D111,'Social — theo ngày'!$A$6:$A$111,"&gt;="&amp;DATE(2026,7,1),'Social — theo ngày'!$A$6:$A$111,"&lt;="&amp;DATE(2026,7,31))</f>
        <v>3579</v>
      </c>
      <c r="C9" s="16" t="n">
        <f aca="false">SUMIFS('Social — theo ngày'!D6:D111,'Social — theo ngày'!$A$6:$A$111,"&gt;="&amp;DATE(2026,8,1),'Social — theo ngày'!$A$6:$A$111,"&lt;="&amp;DATE(2026,8,31))</f>
        <v>4978</v>
      </c>
      <c r="D9" s="16" t="n">
        <f aca="false">SUMIFS('Social — theo ngày'!D6:D111,'Social — theo ngày'!$A$6:$A$111,"&gt;="&amp;DATE(2026,9,1),'Social — theo ngày'!$A$6:$A$111,"&lt;="&amp;DATE(2026,9,30))</f>
        <v>4776</v>
      </c>
      <c r="E9" s="16" t="n">
        <f aca="false">SUMIFS('Social — theo ngày'!D6:D111,'Social — theo ngày'!$A$6:$A$111,"&gt;="&amp;DATE(2026,10,1),'Social — theo ngày'!$A$6:$A$111,"&lt;="&amp;DATE(2026,10,31))</f>
        <v>2704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ngày'!E6:E111,'Social — theo ngày'!$A$6:$A$111,"&gt;="&amp;DATE(2026,7,1),'Social — theo ngày'!$A$6:$A$111,"&lt;="&amp;DATE(2026,7,31))</f>
        <v>189</v>
      </c>
      <c r="C10" s="16" t="n">
        <f aca="false">SUMIFS('Social — theo ngày'!E6:E111,'Social — theo ngày'!$A$6:$A$111,"&gt;="&amp;DATE(2026,8,1),'Social — theo ngày'!$A$6:$A$111,"&lt;="&amp;DATE(2026,8,31))</f>
        <v>314</v>
      </c>
      <c r="D10" s="16" t="n">
        <f aca="false">SUMIFS('Social — theo ngày'!E6:E111,'Social — theo ngày'!$A$6:$A$111,"&gt;="&amp;DATE(2026,9,1),'Social — theo ngày'!$A$6:$A$111,"&lt;="&amp;DATE(2026,9,30))</f>
        <v>425</v>
      </c>
      <c r="E10" s="16" t="n">
        <f aca="false">SUMIFS('Social — theo ngày'!E6:E111,'Social — theo ngày'!$A$6:$A$111,"&gt;="&amp;DATE(2026,10,1),'Social — theo ngày'!$A$6:$A$111,"&lt;="&amp;DATE(2026,10,31))</f>
        <v>398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ngày'!F6:F111,'Social — theo ngày'!$A$6:$A$111,"&gt;="&amp;DATE(2026,7,1),'Social — theo ngày'!$A$6:$A$111,"&lt;="&amp;DATE(2026,7,31))</f>
        <v>51</v>
      </c>
      <c r="C11" s="16" t="n">
        <f aca="false">SUMIFS('Social — theo ngày'!F6:F111,'Social — theo ngày'!$A$6:$A$111,"&gt;="&amp;DATE(2026,8,1),'Social — theo ngày'!$A$6:$A$111,"&lt;="&amp;DATE(2026,8,31))</f>
        <v>69</v>
      </c>
      <c r="D11" s="16" t="n">
        <f aca="false">SUMIFS('Social — theo ngày'!F6:F111,'Social — theo ngày'!$A$6:$A$111,"&gt;="&amp;DATE(2026,9,1),'Social — theo ngày'!$A$6:$A$111,"&lt;="&amp;DATE(2026,9,30))</f>
        <v>25</v>
      </c>
      <c r="E11" s="16" t="n">
        <f aca="false">SUMIFS('Social — theo ngày'!F6:F111,'Social — theo ngày'!$A$6:$A$111,"&gt;="&amp;DATE(2026,10,1),'Social — theo ngày'!$A$6:$A$111,"&lt;="&amp;DATE(2026,10,31))</f>
        <v>28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ngày'!G6:G111,'Social — theo ngày'!$A$6:$A$111,"&gt;="&amp;DATE(2026,7,1),'Social — theo ngày'!$A$6:$A$111,"&lt;="&amp;DATE(2026,7,31))</f>
        <v>275</v>
      </c>
      <c r="C12" s="16" t="n">
        <f aca="false">SUMIFS('Social — theo ngày'!G6:G111,'Social — theo ngày'!$A$6:$A$111,"&gt;="&amp;DATE(2026,8,1),'Social — theo ngày'!$A$6:$A$111,"&lt;="&amp;DATE(2026,8,31))</f>
        <v>387</v>
      </c>
      <c r="D12" s="16" t="n">
        <f aca="false">SUMIFS('Social — theo ngày'!G6:G111,'Social — theo ngày'!$A$6:$A$111,"&gt;="&amp;DATE(2026,9,1),'Social — theo ngày'!$A$6:$A$111,"&lt;="&amp;DATE(2026,9,30))</f>
        <v>177</v>
      </c>
      <c r="E12" s="16" t="n">
        <f aca="false">SUMIFS('Social — theo ngày'!G6:G111,'Social — theo ngày'!$A$6:$A$111,"&gt;="&amp;DATE(2026,10,1),'Social — theo ngày'!$A$6:$A$111,"&lt;="&amp;DATE(2026,10,31))</f>
        <v>85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ngày'!H6:H111,'Social — theo ngày'!$A$6:$A$111,"&gt;="&amp;DATE(2026,7,1),'Social — theo ngày'!$A$6:$A$111,"&lt;="&amp;DATE(2026,7,31))</f>
        <v>869</v>
      </c>
      <c r="C13" s="16" t="n">
        <f aca="false">SUMIFS('Social — theo ngày'!H6:H111,'Social — theo ngày'!$A$6:$A$111,"&gt;="&amp;DATE(2026,8,1),'Social — theo ngày'!$A$6:$A$111,"&lt;="&amp;DATE(2026,8,31))</f>
        <v>1161</v>
      </c>
      <c r="D13" s="16" t="n">
        <f aca="false">SUMIFS('Social — theo ngày'!H6:H111,'Social — theo ngày'!$A$6:$A$111,"&gt;="&amp;DATE(2026,9,1),'Social — theo ngày'!$A$6:$A$111,"&lt;="&amp;DATE(2026,9,30))</f>
        <v>2465</v>
      </c>
      <c r="E13" s="16" t="n">
        <f aca="false">SUMIFS('Social — theo ngày'!H6:H111,'Social — theo ngày'!$A$6:$A$111,"&gt;="&amp;DATE(2026,10,1),'Social — theo ngày'!$A$6:$A$111,"&lt;="&amp;DATE(2026,10,31))</f>
        <v>1336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ngày'!B69</f>
        <v>117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ngày'!C69</f>
        <v>173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ngày'!D69</f>
        <v>3981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ngày'!E69</f>
        <v>490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ngày'!F69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ngày'!G69</f>
        <v>44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ngày'!H69</f>
        <v>285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ngày'!I69</f>
        <v>1775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ngày'!J69</f>
        <v>138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ngày'!K69</f>
        <v>1278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ngày'!L69</f>
        <v>82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ngày'!M69</f>
        <v>37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ngày'!N69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ngày'!O69</f>
        <v>780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SEO!B69</f>
        <v>18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SEO!C69</f>
        <v>912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SEO!D69</f>
        <v>876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SEO!E69</f>
        <v>40.27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SEO!F69</f>
        <v>9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SEO!G69</f>
        <v>673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SEO!H69</f>
        <v>425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SEO!I69</f>
        <v>26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SEO!J69</f>
        <v>2.7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SEO!K69</f>
        <v>951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SEO!L69</f>
        <v>17.6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SEO!M69</f>
        <v>90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SEO!N69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SEO!O69</f>
        <v>302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Audit!B66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Audit!C66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Audit!D66</f>
        <v>97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Audit!E66</f>
        <v>93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Audit!F66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Audit!G66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Audit!H66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Audit!I66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Audit!J66</f>
        <v>301.8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Audit!K66</f>
        <v>247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Audit!L66</f>
        <v>242263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2026-10-19T23:23:57Z</dcterms:created>
  <dc:creator>openpyxl</dc:creator>
  <dc:description/>
  <dc:language>en-US</dc:language>
  <cp:lastModifiedBy/>
  <dcterms:modified xsi:type="dcterms:W3CDTF">2026-10-19T23:23:57Z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