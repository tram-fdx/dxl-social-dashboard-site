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<sst xmlns="http://schemas.openxmlformats.org/spreadsheetml/2006/main" count="216" uniqueCount="97">
  <si>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</si>
  <si>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2026-10-08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</si>
  <si>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</si>
  <si>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</si>
  <si>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</si>
  <si>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</si>
  <si>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</si>
  <si>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</si>
  <si>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</si>
  <si>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</si>
  <si>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</si>
  <si>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</si>
  <si>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</si>
  <si>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</si>
  <si>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</si>
  <si>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</si>
  <si>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</si>
  <si>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</si>
  <si>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</si>
  <si>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</si>
  <si>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</si>
  <si>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</si>
  <si>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</si>
  <si>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95 dòng × 7 chỉ số · 2026-07-05 → 2026-10-07</t>
  </si>
  <si>
    <t xml:space="preserve">Social — 28 ngày</t>
  </si>
  <si>
    <t xml:space="preserve">57 dòng × 14 chỉ số · 2026-07-23 → 2026-10-09</t>
  </si>
  <si>
    <t xml:space="preserve">SEO</t>
  </si>
  <si>
    <t xml:space="preserve">57 dòng × 14 chỉ số · 2026-06-30 → 2026-10-09</t>
  </si>
  <si>
    <t xml:space="preserve">Audit</t>
  </si>
  <si>
    <t xml:space="preserve">54 dòng × 11 chỉ số · 2026-07-27 → 2026-10-09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</si>
  <si>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</si>
  <si>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95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</si>
  <si>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</si>
  <si>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</si>
  <si>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</si>
  <si>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</si>
  <si>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</si>
  <si>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</si>
  <si>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</si>
  <si>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</si>
  <si>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</si>
  <si>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</si>
  <si>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57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</si>
  <si>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</si>
  <si>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</si>
  <si>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</si>
  <si>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</si>
  <si>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</si>
  <si>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</si>
  <si>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</si>
  <si>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</si>
  <si>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</si>
  <si>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</si>
  <si>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</si>
  <si>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</si>
  <si>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</si>
  <si>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</si>
  <si>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</si>
  <si>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57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</si>
  <si>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</si>
  <si>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</si>
  <si>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</si>
  <si>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</si>
  <si>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</si>
  <si>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</si>
  <si>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</si>
  <si>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</si>
  <si>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</si>
  <si>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</si>
  <si>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</si>
  <si>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</si>
  <si>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</si>
  <si>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</si>
  <si>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</si>
  <si>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54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</si>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</sst>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ngày'!B6:B100,'Social — theo ngày'!$A$6:$A$100,"&gt;="&amp;DATE(2026,7,1),'Social — theo ngày'!$A$6:$A$100,"&lt;="&amp;DATE(2026,7,31))</f>
        <v>125</v>
      </c>
      <c r="C7" s="16" t="n">
        <f aca="false">SUMIFS('Social — theo ngày'!B6:B100,'Social — theo ngày'!$A$6:$A$100,"&gt;="&amp;DATE(2026,8,1),'Social — theo ngày'!$A$6:$A$100,"&lt;="&amp;DATE(2026,8,31))</f>
        <v>195</v>
      </c>
      <c r="D7" s="16" t="n">
        <f aca="false">SUMIFS('Social — theo ngày'!B6:B100,'Social — theo ngày'!$A$6:$A$100,"&gt;="&amp;DATE(2026,9,1),'Social — theo ngày'!$A$6:$A$100,"&lt;="&amp;DATE(2026,9,30))</f>
        <v>160</v>
      </c>
      <c r="E7" s="16" t="n">
        <f aca="false">SUMIFS('Social — theo ngày'!B6:B100,'Social — theo ngày'!$A$6:$A$100,"&gt;="&amp;DATE(2026,10,1),'Social — theo ngày'!$A$6:$A$100,"&lt;="&amp;DATE(2026,10,31))</f>
        <v>86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ngày'!C6:C100,'Social — theo ngày'!$A$6:$A$100,"&gt;="&amp;DATE(2026,7,1),'Social — theo ngày'!$A$6:$A$100,"&lt;="&amp;DATE(2026,7,31))</f>
        <v>106</v>
      </c>
      <c r="C8" s="16" t="n">
        <f aca="false">SUMIFS('Social — theo ngày'!C6:C100,'Social — theo ngày'!$A$6:$A$100,"&gt;="&amp;DATE(2026,8,1),'Social — theo ngày'!$A$6:$A$100,"&lt;="&amp;DATE(2026,8,31))</f>
        <v>147</v>
      </c>
      <c r="D8" s="16" t="n">
        <f aca="false">SUMIFS('Social — theo ngày'!C6:C100,'Social — theo ngày'!$A$6:$A$100,"&gt;="&amp;DATE(2026,9,1),'Social — theo ngày'!$A$6:$A$100,"&lt;="&amp;DATE(2026,9,30))</f>
        <v>354</v>
      </c>
      <c r="E8" s="16" t="n">
        <f aca="false">SUMIFS('Social — theo ngày'!C6:C100,'Social — theo ngày'!$A$6:$A$100,"&gt;="&amp;DATE(2026,10,1),'Social — theo ngày'!$A$6:$A$100,"&lt;="&amp;DATE(2026,10,31))</f>
        <v>207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ngày'!D6:D100,'Social — theo ngày'!$A$6:$A$100,"&gt;="&amp;DATE(2026,7,1),'Social — theo ngày'!$A$6:$A$100,"&lt;="&amp;DATE(2026,7,31))</f>
        <v>3579</v>
      </c>
      <c r="C9" s="16" t="n">
        <f aca="false">SUMIFS('Social — theo ngày'!D6:D100,'Social — theo ngày'!$A$6:$A$100,"&gt;="&amp;DATE(2026,8,1),'Social — theo ngày'!$A$6:$A$100,"&lt;="&amp;DATE(2026,8,31))</f>
        <v>4978</v>
      </c>
      <c r="D9" s="16" t="n">
        <f aca="false">SUMIFS('Social — theo ngày'!D6:D100,'Social — theo ngày'!$A$6:$A$100,"&gt;="&amp;DATE(2026,9,1),'Social — theo ngày'!$A$6:$A$100,"&lt;="&amp;DATE(2026,9,30))</f>
        <v>4776</v>
      </c>
      <c r="E9" s="16" t="n">
        <f aca="false">SUMIFS('Social — theo ngày'!D6:D100,'Social — theo ngày'!$A$6:$A$100,"&gt;="&amp;DATE(2026,10,1),'Social — theo ngày'!$A$6:$A$100,"&lt;="&amp;DATE(2026,10,31))</f>
        <v>1507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ngày'!E6:E100,'Social — theo ngày'!$A$6:$A$100,"&gt;="&amp;DATE(2026,7,1),'Social — theo ngày'!$A$6:$A$100,"&lt;="&amp;DATE(2026,7,31))</f>
        <v>189</v>
      </c>
      <c r="C10" s="16" t="n">
        <f aca="false">SUMIFS('Social — theo ngày'!E6:E100,'Social — theo ngày'!$A$6:$A$100,"&gt;="&amp;DATE(2026,8,1),'Social — theo ngày'!$A$6:$A$100,"&lt;="&amp;DATE(2026,8,31))</f>
        <v>314</v>
      </c>
      <c r="D10" s="16" t="n">
        <f aca="false">SUMIFS('Social — theo ngày'!E6:E100,'Social — theo ngày'!$A$6:$A$100,"&gt;="&amp;DATE(2026,9,1),'Social — theo ngày'!$A$6:$A$100,"&lt;="&amp;DATE(2026,9,30))</f>
        <v>425</v>
      </c>
      <c r="E10" s="16" t="n">
        <f aca="false">SUMIFS('Social — theo ngày'!E6:E100,'Social — theo ngày'!$A$6:$A$100,"&gt;="&amp;DATE(2026,10,1),'Social — theo ngày'!$A$6:$A$100,"&lt;="&amp;DATE(2026,10,31))</f>
        <v>149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ngày'!F6:F100,'Social — theo ngày'!$A$6:$A$100,"&gt;="&amp;DATE(2026,7,1),'Social — theo ngày'!$A$6:$A$100,"&lt;="&amp;DATE(2026,7,31))</f>
        <v>51</v>
      </c>
      <c r="C11" s="16" t="n">
        <f aca="false">SUMIFS('Social — theo ngày'!F6:F100,'Social — theo ngày'!$A$6:$A$100,"&gt;="&amp;DATE(2026,8,1),'Social — theo ngày'!$A$6:$A$100,"&lt;="&amp;DATE(2026,8,31))</f>
        <v>69</v>
      </c>
      <c r="D11" s="16" t="n">
        <f aca="false">SUMIFS('Social — theo ngày'!F6:F100,'Social — theo ngày'!$A$6:$A$100,"&gt;="&amp;DATE(2026,9,1),'Social — theo ngày'!$A$6:$A$100,"&lt;="&amp;DATE(2026,9,30))</f>
        <v>25</v>
      </c>
      <c r="E11" s="16" t="n">
        <f aca="false">SUMIFS('Social — theo ngày'!F6:F100,'Social — theo ngày'!$A$6:$A$100,"&gt;="&amp;DATE(2026,10,1),'Social — theo ngày'!$A$6:$A$100,"&lt;="&amp;DATE(2026,10,31))</f>
        <v>15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ngày'!G6:G100,'Social — theo ngày'!$A$6:$A$100,"&gt;="&amp;DATE(2026,7,1),'Social — theo ngày'!$A$6:$A$100,"&lt;="&amp;DATE(2026,7,31))</f>
        <v>275</v>
      </c>
      <c r="C12" s="16" t="n">
        <f aca="false">SUMIFS('Social — theo ngày'!G6:G100,'Social — theo ngày'!$A$6:$A$100,"&gt;="&amp;DATE(2026,8,1),'Social — theo ngày'!$A$6:$A$100,"&lt;="&amp;DATE(2026,8,31))</f>
        <v>387</v>
      </c>
      <c r="D12" s="16" t="n">
        <f aca="false">SUMIFS('Social — theo ngày'!G6:G100,'Social — theo ngày'!$A$6:$A$100,"&gt;="&amp;DATE(2026,9,1),'Social — theo ngày'!$A$6:$A$100,"&lt;="&amp;DATE(2026,9,30))</f>
        <v>177</v>
      </c>
      <c r="E12" s="16" t="n">
        <f aca="false">SUMIFS('Social — theo ngày'!G6:G100,'Social — theo ngày'!$A$6:$A$100,"&gt;="&amp;DATE(2026,10,1),'Social — theo ngày'!$A$6:$A$100,"&lt;="&amp;DATE(2026,10,31))</f>
        <v>70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ngày'!H6:H100,'Social — theo ngày'!$A$6:$A$100,"&gt;="&amp;DATE(2026,7,1),'Social — theo ngày'!$A$6:$A$100,"&lt;="&amp;DATE(2026,7,31))</f>
        <v>869</v>
      </c>
      <c r="C13" s="16" t="n">
        <f aca="false">SUMIFS('Social — theo ngày'!H6:H100,'Social — theo ngày'!$A$6:$A$100,"&gt;="&amp;DATE(2026,8,1),'Social — theo ngày'!$A$6:$A$100,"&lt;="&amp;DATE(2026,8,31))</f>
        <v>1161</v>
      </c>
      <c r="D13" s="16" t="n">
        <f aca="false">SUMIFS('Social — theo ngày'!H6:H100,'Social — theo ngày'!$A$6:$A$100,"&gt;="&amp;DATE(2026,9,1),'Social — theo ngày'!$A$6:$A$100,"&lt;="&amp;DATE(2026,9,30))</f>
        <v>2465</v>
      </c>
      <c r="E13" s="16" t="n">
        <f aca="false">SUMIFS('Social — theo ngày'!H6:H100,'Social — theo ngày'!$A$6:$A$100,"&gt;="&amp;DATE(2026,10,1),'Social — theo ngày'!$A$6:$A$100,"&lt;="&amp;DATE(2026,10,31))</f>
        <v>750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ngày'!B62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ngày'!C62</f>
        <v>197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ngày'!D62</f>
        <v>4362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ngày'!E62</f>
        <v>442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ngày'!F62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ngày'!G62</f>
        <v>37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ngày'!H62</f>
        <v>117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ngày'!I62</f>
        <v>2466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ngày'!J62</f>
        <v>124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ngày'!K62</f>
        <v>1243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ngày'!L62</f>
        <v>30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ngày'!M62</f>
        <v>30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ngày'!N62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ngày'!O62</f>
        <v>841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SEO!B62</f>
        <v>12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SEO!C62</f>
        <v>917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SEO!D62</f>
        <v>881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SEO!E62</f>
        <v>34.02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SEO!F62</f>
        <v>7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SEO!G62</f>
        <v>635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SEO!H62</f>
        <v>440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SEO!I62</f>
        <v>19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SEO!J62</f>
        <v>2.8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SEO!K62</f>
        <v>673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SEO!L62</f>
        <v>14.6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SEO!M62</f>
        <v>78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SEO!N62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SEO!O62</f>
        <v>327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Audit!B59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Audit!C59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Audit!D59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Audit!E59</f>
        <v>94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Audit!F59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Audit!G59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Audit!H59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Audit!I59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Audit!J59</f>
        <v>327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Audit!K59</f>
        <v>270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Audit!L59</f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2026-10-08T23:44:51Z</dcterms:created>
  <dc:creator>openpyxl</dc:creator>
  <dc:description/>
  <dc:language>en-US</dc:language>
  <cp:lastModifiedBy/>
  <dcterms:modified xsi:type="dcterms:W3CDTF">2026-10-08T23:44:51Z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