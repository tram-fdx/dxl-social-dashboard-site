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<sst xmlns="http://schemas.openxmlformats.org/spreadsheetml/2006/main" count="216" uniqueCount="97">
  <si>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</si>
  <si>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2026-10-29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</si>
  <si>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</si>
  <si>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</si>
  <si>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</si>
  <si>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</si>
  <si>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</si>
  <si>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</si>
  <si>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</si>
  <si>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</si>
  <si>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</si>
  <si>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</si>
  <si>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</si>
  <si>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</si>
  <si>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</si>
  <si>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</si>
  <si>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</si>
  <si>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</si>
  <si>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</si>
  <si>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</si>
  <si>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</si>
  <si>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</si>
  <si>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</si>
  <si>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115 dòng × 7 chỉ số · 2026-07-05 → 2026-10-27</t>
  </si>
  <si>
    <t xml:space="preserve">Social — 28 ngày</t>
  </si>
  <si>
    <t xml:space="preserve">71 dòng × 14 chỉ số · 2026-07-23 → 2026-10-29</t>
  </si>
  <si>
    <t xml:space="preserve">SEO</t>
  </si>
  <si>
    <t xml:space="preserve">71 dòng × 14 chỉ số · 2026-06-30 → 2026-10-29</t>
  </si>
  <si>
    <t xml:space="preserve">Audit</t>
  </si>
  <si>
    <t xml:space="preserve">68 dòng × 11 chỉ số · 2026-07-27 → 2026-10-29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</si>
  <si>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</si>
  <si>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115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</si>
  <si>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</si>
  <si>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</si>
  <si>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</si>
  <si>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</si>
  <si>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</si>
  <si>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</si>
  <si>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</si>
  <si>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</si>
  <si>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</si>
  <si>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</si>
  <si>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71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</si>
  <si>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</si>
  <si>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</si>
  <si>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</si>
  <si>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</si>
  <si>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</si>
  <si>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</si>
  <si>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</si>
  <si>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</si>
  <si>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</si>
  <si>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</si>
  <si>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</si>
  <si>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</si>
  <si>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</si>
  <si>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</si>
  <si>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</si>
  <si>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71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</si>
  <si>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</si>
  <si>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</si>
  <si>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</si>
  <si>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</si>
  <si>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</si>
  <si>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</si>
  <si>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</si>
  <si>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</si>
  <si>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</si>
  <si>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</si>
  <si>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</si>
  <si>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</si>
  <si>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</si>
  <si>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</si>
  <si>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</si>
  <si>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68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</si>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</sst>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  <row r="110" customFormat="false" ht="15" hidden="false" customHeight="false" outlineLevel="0" collapsed="false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/>
      <c r="H110" s="16" t="n">
        <v>128</v>
      </c>
    </row>
    <row r="111" customFormat="false" ht="15" hidden="false" customHeight="false" outlineLevel="0" collapsed="false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/>
      <c r="H111" s="16" t="n">
        <v>18</v>
      </c>
    </row>
    <row r="112" customFormat="false" ht="15" hidden="false" customHeight="false" outlineLevel="0" collapsed="false">
      <c r="A112" s="15" t="n">
        <v>46314</v>
      </c>
      <c r="B112" s="16" t="n">
        <v>4</v>
      </c>
      <c r="C112" s="16" t="n">
        <v>2</v>
      </c>
      <c r="D112" s="16" t="n">
        <v>125</v>
      </c>
      <c r="E112" s="16" t="n">
        <v>21</v>
      </c>
      <c r="F112" s="16" t="n">
        <v>4</v>
      </c>
      <c r="G112" s="16"/>
      <c r="H112" s="16" t="n">
        <v>49</v>
      </c>
    </row>
    <row r="113" customFormat="false" ht="15" hidden="false" customHeight="false" outlineLevel="0" collapsed="false">
      <c r="A113" s="15" t="n">
        <v>46315</v>
      </c>
      <c r="B113" s="16" t="n">
        <v>12</v>
      </c>
      <c r="C113" s="16" t="n">
        <v>5</v>
      </c>
      <c r="D113" s="16" t="n">
        <v>203</v>
      </c>
      <c r="E113" s="16" t="n">
        <v>22</v>
      </c>
      <c r="F113" s="16" t="n">
        <v>11</v>
      </c>
      <c r="G113" s="16"/>
      <c r="H113" s="16" t="n">
        <v>52</v>
      </c>
    </row>
    <row r="114" customFormat="false" ht="15" hidden="false" customHeight="false" outlineLevel="0" collapsed="false">
      <c r="A114" s="15" t="n">
        <v>46316</v>
      </c>
      <c r="B114" s="16" t="n">
        <v>5</v>
      </c>
      <c r="C114" s="16" t="n">
        <v>69</v>
      </c>
      <c r="D114" s="16" t="n">
        <v>287</v>
      </c>
      <c r="E114" s="16" t="n">
        <v>45</v>
      </c>
      <c r="F114" s="16" t="n">
        <v>5</v>
      </c>
      <c r="G114" s="16"/>
      <c r="H114" s="16" t="n">
        <v>131</v>
      </c>
    </row>
    <row r="115" customFormat="false" ht="15" hidden="false" customHeight="false" outlineLevel="0" collapsed="false">
      <c r="A115" s="15" t="n">
        <v>46317</v>
      </c>
      <c r="B115" s="16" t="n">
        <v>5</v>
      </c>
      <c r="C115" s="16" t="n">
        <v>9</v>
      </c>
      <c r="D115" s="16" t="n">
        <v>241</v>
      </c>
      <c r="E115" s="16" t="n">
        <v>25</v>
      </c>
      <c r="F115" s="16" t="n">
        <v>8</v>
      </c>
      <c r="G115" s="16"/>
      <c r="H115" s="16" t="n">
        <v>65</v>
      </c>
    </row>
    <row r="116" customFormat="false" ht="15" hidden="false" customHeight="false" outlineLevel="0" collapsed="false">
      <c r="A116" s="15" t="n">
        <v>46318</v>
      </c>
      <c r="B116" s="16" t="n">
        <v>7</v>
      </c>
      <c r="C116" s="16" t="n">
        <v>7</v>
      </c>
      <c r="D116" s="16" t="n">
        <v>160</v>
      </c>
      <c r="E116" s="16" t="n">
        <v>22</v>
      </c>
      <c r="F116" s="16" t="n">
        <v>2</v>
      </c>
      <c r="G116" s="16"/>
      <c r="H116" s="16" t="n">
        <v>30</v>
      </c>
    </row>
    <row r="117" customFormat="false" ht="15" hidden="false" customHeight="false" outlineLevel="0" collapsed="false">
      <c r="A117" s="15" t="n">
        <v>46319</v>
      </c>
      <c r="B117" s="16" t="n">
        <v>2</v>
      </c>
      <c r="C117" s="16" t="n">
        <v>1</v>
      </c>
      <c r="D117" s="16" t="n">
        <v>48</v>
      </c>
      <c r="E117" s="16" t="n">
        <v>10</v>
      </c>
      <c r="F117" s="16" t="n">
        <v>2</v>
      </c>
      <c r="G117" s="16"/>
      <c r="H117" s="16" t="n">
        <v>25</v>
      </c>
    </row>
    <row r="118" customFormat="false" ht="15" hidden="false" customHeight="false" outlineLevel="0" collapsed="false">
      <c r="A118" s="15" t="n">
        <v>46320</v>
      </c>
      <c r="B118" s="16" t="n">
        <v>1</v>
      </c>
      <c r="C118" s="16" t="n">
        <v>13</v>
      </c>
      <c r="D118" s="16" t="n">
        <v>103</v>
      </c>
      <c r="E118" s="16" t="n">
        <v>46</v>
      </c>
      <c r="F118" s="16" t="n">
        <v>0</v>
      </c>
      <c r="G118" s="16"/>
      <c r="H118" s="16" t="n">
        <v>56</v>
      </c>
    </row>
    <row r="119" customFormat="false" ht="15" hidden="false" customHeight="false" outlineLevel="0" collapsed="false">
      <c r="A119" s="15" t="n">
        <v>46321</v>
      </c>
      <c r="B119" s="16" t="n">
        <v>4</v>
      </c>
      <c r="C119" s="16" t="n">
        <v>1</v>
      </c>
      <c r="D119" s="16" t="n">
        <v>127</v>
      </c>
      <c r="E119" s="16" t="n">
        <v>17</v>
      </c>
      <c r="F119" s="16" t="n">
        <v>3</v>
      </c>
      <c r="G119" s="16"/>
      <c r="H119" s="16" t="n">
        <v>17</v>
      </c>
    </row>
    <row r="120" customFormat="false" ht="15" hidden="false" customHeight="false" outlineLevel="0" collapsed="false">
      <c r="A120" s="15" t="n">
        <v>46322</v>
      </c>
      <c r="B120" s="16" t="n">
        <v>0</v>
      </c>
      <c r="C120" s="16" t="n">
        <v>0</v>
      </c>
      <c r="D120" s="16" t="n">
        <v>39</v>
      </c>
      <c r="E120" s="16" t="n">
        <v>44</v>
      </c>
      <c r="F120" s="16" t="n">
        <v>1</v>
      </c>
      <c r="G120" s="16"/>
      <c r="H120" s="1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 customFormat="false" ht="15" hidden="false" customHeight="false" outlineLevel="0" collapsed="false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  <row r="70" customFormat="false" ht="15" hidden="false" customHeight="false" outlineLevel="0" collapsed="false">
      <c r="A70" s="15" t="n">
        <v>46316</v>
      </c>
      <c r="B70" s="16" t="n">
        <v>116</v>
      </c>
      <c r="C70" s="16" t="n">
        <v>171</v>
      </c>
      <c r="D70" s="16" t="n">
        <v>3957</v>
      </c>
      <c r="E70" s="16" t="n">
        <v>499</v>
      </c>
      <c r="F70" s="16" t="n">
        <v>49</v>
      </c>
      <c r="G70" s="16" t="n">
        <v>48</v>
      </c>
      <c r="H70" s="16" t="n">
        <v>286</v>
      </c>
      <c r="I70" s="16" t="n">
        <v>1767</v>
      </c>
      <c r="J70" s="16" t="n">
        <v>139</v>
      </c>
      <c r="K70" s="16" t="n">
        <v>1263</v>
      </c>
      <c r="L70" s="16" t="n">
        <v>80</v>
      </c>
      <c r="M70" s="16" t="n">
        <v>38</v>
      </c>
      <c r="N70" s="16" t="n">
        <v>7</v>
      </c>
      <c r="O70" s="16" t="n">
        <v>782</v>
      </c>
    </row>
    <row r="71" customFormat="false" ht="15" hidden="false" customHeight="false" outlineLevel="0" collapsed="false">
      <c r="A71" s="15" t="n">
        <v>46317</v>
      </c>
      <c r="B71" s="16" t="n">
        <v>116</v>
      </c>
      <c r="C71" s="16" t="n">
        <v>177</v>
      </c>
      <c r="D71" s="16" t="n">
        <v>4026</v>
      </c>
      <c r="E71" s="16" t="n">
        <v>517</v>
      </c>
      <c r="F71" s="16" t="n">
        <v>49</v>
      </c>
      <c r="G71" s="16" t="n">
        <v>57</v>
      </c>
      <c r="H71" s="16" t="n">
        <v>286</v>
      </c>
      <c r="I71" s="16" t="n">
        <v>1790</v>
      </c>
      <c r="J71" s="16" t="n">
        <v>138</v>
      </c>
      <c r="K71" s="16" t="n">
        <v>1250</v>
      </c>
      <c r="L71" s="16" t="n">
        <v>80</v>
      </c>
      <c r="M71" s="16" t="n">
        <v>35</v>
      </c>
      <c r="N71" s="16" t="n">
        <v>7</v>
      </c>
      <c r="O71" s="16" t="n">
        <v>783</v>
      </c>
    </row>
    <row r="72" customFormat="false" ht="15" hidden="false" customHeight="false" outlineLevel="0" collapsed="false">
      <c r="A72" s="15" t="n">
        <v>46318</v>
      </c>
      <c r="B72" s="16" t="n">
        <v>116</v>
      </c>
      <c r="C72" s="16" t="n">
        <v>175</v>
      </c>
      <c r="D72" s="16" t="n">
        <v>4124</v>
      </c>
      <c r="E72" s="16" t="n">
        <v>531</v>
      </c>
      <c r="F72" s="16" t="n">
        <v>49</v>
      </c>
      <c r="G72" s="16" t="n">
        <v>60</v>
      </c>
      <c r="H72" s="16" t="n">
        <v>334</v>
      </c>
      <c r="I72" s="16" t="n">
        <v>1875</v>
      </c>
      <c r="J72" s="16"/>
      <c r="K72" s="16"/>
      <c r="L72" s="16"/>
      <c r="M72" s="16"/>
      <c r="N72" s="16" t="n">
        <v>7</v>
      </c>
      <c r="O72" s="16" t="n">
        <v>860</v>
      </c>
    </row>
    <row r="73" customFormat="false" ht="15" hidden="false" customHeight="false" outlineLevel="0" collapsed="false">
      <c r="A73" s="15" t="n">
        <v>46321</v>
      </c>
      <c r="B73" s="16" t="n">
        <v>116</v>
      </c>
      <c r="C73" s="16" t="n">
        <v>172</v>
      </c>
      <c r="D73" s="16" t="n">
        <v>4270</v>
      </c>
      <c r="E73" s="16" t="n">
        <v>556</v>
      </c>
      <c r="F73" s="16" t="n">
        <v>49</v>
      </c>
      <c r="G73" s="16" t="n">
        <v>68</v>
      </c>
      <c r="H73" s="16" t="n">
        <v>336</v>
      </c>
      <c r="I73" s="16" t="n">
        <v>1933</v>
      </c>
      <c r="J73" s="16" t="n">
        <v>140</v>
      </c>
      <c r="K73" s="16" t="n">
        <v>1275</v>
      </c>
      <c r="L73" s="16" t="n">
        <v>82</v>
      </c>
      <c r="M73" s="16" t="n">
        <v>38</v>
      </c>
      <c r="N73" s="16" t="n">
        <v>7</v>
      </c>
      <c r="O73" s="16" t="n">
        <v>868</v>
      </c>
    </row>
    <row r="74" customFormat="false" ht="15" hidden="false" customHeight="false" outlineLevel="0" collapsed="false">
      <c r="A74" s="15" t="n">
        <v>46322</v>
      </c>
      <c r="B74" s="16" t="n">
        <v>117</v>
      </c>
      <c r="C74" s="16" t="n">
        <v>173</v>
      </c>
      <c r="D74" s="16" t="n">
        <v>4308</v>
      </c>
      <c r="E74" s="16" t="n">
        <v>598</v>
      </c>
      <c r="F74" s="16" t="n">
        <v>49</v>
      </c>
      <c r="G74" s="16" t="n">
        <v>68</v>
      </c>
      <c r="H74" s="16" t="n">
        <v>337</v>
      </c>
      <c r="I74" s="16" t="n">
        <v>1981</v>
      </c>
      <c r="J74" s="16" t="n">
        <v>140</v>
      </c>
      <c r="K74" s="16" t="n">
        <v>1262</v>
      </c>
      <c r="L74" s="16" t="n">
        <v>82</v>
      </c>
      <c r="M74" s="16" t="n">
        <v>38</v>
      </c>
      <c r="N74" s="16" t="n">
        <v>7</v>
      </c>
      <c r="O74" s="16" t="n">
        <v>868</v>
      </c>
    </row>
    <row r="75" customFormat="false" ht="15" hidden="false" customHeight="false" outlineLevel="0" collapsed="false">
      <c r="A75" s="15" t="n">
        <v>46323</v>
      </c>
      <c r="B75" s="16" t="n">
        <v>117</v>
      </c>
      <c r="C75" s="16" t="n">
        <v>171</v>
      </c>
      <c r="D75" s="16" t="n">
        <v>4255</v>
      </c>
      <c r="E75" s="16" t="n">
        <v>609</v>
      </c>
      <c r="F75" s="16" t="n">
        <v>49</v>
      </c>
      <c r="G75" s="16" t="n">
        <v>68</v>
      </c>
      <c r="H75" s="16" t="n">
        <v>337</v>
      </c>
      <c r="I75" s="16" t="n">
        <v>1968</v>
      </c>
      <c r="J75" s="16" t="n">
        <v>141</v>
      </c>
      <c r="K75" s="16" t="n">
        <v>1256</v>
      </c>
      <c r="L75" s="16" t="n">
        <v>82</v>
      </c>
      <c r="M75" s="16" t="n">
        <v>38</v>
      </c>
      <c r="N75" s="16" t="n">
        <v>7</v>
      </c>
      <c r="O75" s="16" t="n">
        <v>869</v>
      </c>
    </row>
    <row r="76" customFormat="false" ht="15" hidden="false" customHeight="false" outlineLevel="0" collapsed="false">
      <c r="A76" s="15" t="n">
        <v>46324</v>
      </c>
      <c r="B76" s="16" t="n">
        <v>117</v>
      </c>
      <c r="C76" s="16" t="n">
        <v>167</v>
      </c>
      <c r="D76" s="16" t="n">
        <v>4199</v>
      </c>
      <c r="E76" s="16" t="n">
        <v>653</v>
      </c>
      <c r="F76" s="16" t="n">
        <v>50</v>
      </c>
      <c r="G76" s="16" t="n">
        <v>66</v>
      </c>
      <c r="H76" s="16" t="n">
        <v>337</v>
      </c>
      <c r="I76" s="16" t="n">
        <v>1916</v>
      </c>
      <c r="J76" s="16" t="n">
        <v>141</v>
      </c>
      <c r="K76" s="16" t="n">
        <v>1268</v>
      </c>
      <c r="L76" s="16" t="n">
        <v>82</v>
      </c>
      <c r="M76" s="16" t="n">
        <v>39</v>
      </c>
      <c r="N76" s="16" t="n">
        <v>7</v>
      </c>
      <c r="O76" s="16" t="n">
        <v>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 customFormat="false" ht="15" hidden="false" customHeight="false" outlineLevel="0" collapsed="false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  <row r="70" customFormat="false" ht="15" hidden="false" customHeight="false" outlineLevel="0" collapsed="false">
      <c r="A70" s="15" t="n">
        <v>46316</v>
      </c>
      <c r="B70" s="16" t="n">
        <v>19</v>
      </c>
      <c r="C70" s="16" t="n">
        <v>911</v>
      </c>
      <c r="D70" s="16" t="n">
        <v>875</v>
      </c>
      <c r="E70" s="19" t="n">
        <v>40.36</v>
      </c>
      <c r="F70" s="16" t="n">
        <v>9</v>
      </c>
      <c r="G70" s="16" t="n">
        <v>669</v>
      </c>
      <c r="H70" s="16" t="n">
        <v>419</v>
      </c>
      <c r="I70" s="16" t="n">
        <v>28</v>
      </c>
      <c r="J70" s="19" t="n">
        <v>2.8</v>
      </c>
      <c r="K70" s="16" t="n">
        <v>1017</v>
      </c>
      <c r="L70" s="19" t="n">
        <v>19.1</v>
      </c>
      <c r="M70" s="16" t="n">
        <v>110</v>
      </c>
      <c r="N70" s="16" t="n">
        <v>119</v>
      </c>
      <c r="O70" s="16" t="n">
        <v>308</v>
      </c>
    </row>
    <row r="71" customFormat="false" ht="15" hidden="false" customHeight="false" outlineLevel="0" collapsed="false">
      <c r="A71" s="15" t="n">
        <v>46317</v>
      </c>
      <c r="B71" s="16" t="n">
        <v>21</v>
      </c>
      <c r="C71" s="16" t="n">
        <v>911</v>
      </c>
      <c r="D71" s="16" t="n">
        <v>875</v>
      </c>
      <c r="E71" s="19" t="n">
        <v>39.58</v>
      </c>
      <c r="F71" s="16" t="n">
        <v>8</v>
      </c>
      <c r="G71" s="16" t="n">
        <v>672</v>
      </c>
      <c r="H71" s="16" t="n">
        <v>422</v>
      </c>
      <c r="I71" s="16" t="n">
        <v>29</v>
      </c>
      <c r="J71" s="19" t="n">
        <v>2.5</v>
      </c>
      <c r="K71" s="16" t="n">
        <v>1174</v>
      </c>
      <c r="L71" s="19" t="n">
        <v>18.3</v>
      </c>
      <c r="M71" s="16" t="n">
        <v>114</v>
      </c>
      <c r="N71" s="16" t="n">
        <v>119</v>
      </c>
      <c r="O71" s="19" t="n">
        <v>311.2</v>
      </c>
    </row>
    <row r="72" customFormat="false" ht="15" hidden="false" customHeight="false" outlineLevel="0" collapsed="false">
      <c r="A72" s="15" t="n">
        <v>46318</v>
      </c>
      <c r="B72" s="16" t="n">
        <v>22</v>
      </c>
      <c r="C72" s="16" t="n">
        <v>910</v>
      </c>
      <c r="D72" s="16" t="n">
        <v>874</v>
      </c>
      <c r="E72" s="19" t="n">
        <v>39.67</v>
      </c>
      <c r="F72" s="16" t="n">
        <v>6</v>
      </c>
      <c r="G72" s="16" t="n">
        <v>668</v>
      </c>
      <c r="H72" s="16" t="n">
        <v>417</v>
      </c>
      <c r="I72" s="16" t="n">
        <v>28</v>
      </c>
      <c r="J72" s="19" t="n">
        <v>2.3</v>
      </c>
      <c r="K72" s="16" t="n">
        <v>1231</v>
      </c>
      <c r="L72" s="19" t="n">
        <v>19.2</v>
      </c>
      <c r="M72" s="16" t="n">
        <v>122</v>
      </c>
      <c r="N72" s="16" t="n">
        <v>119</v>
      </c>
      <c r="O72" s="19" t="n">
        <v>310.4</v>
      </c>
    </row>
    <row r="73" customFormat="false" ht="15" hidden="false" customHeight="false" outlineLevel="0" collapsed="false">
      <c r="A73" s="15" t="n">
        <v>46321</v>
      </c>
      <c r="B73" s="16" t="n">
        <v>26</v>
      </c>
      <c r="C73" s="16" t="n">
        <v>909</v>
      </c>
      <c r="D73" s="16" t="n">
        <v>873</v>
      </c>
      <c r="E73" s="19" t="n">
        <v>39.77</v>
      </c>
      <c r="F73" s="16" t="n">
        <v>8</v>
      </c>
      <c r="G73" s="16" t="n">
        <v>699</v>
      </c>
      <c r="H73" s="16" t="n">
        <v>439</v>
      </c>
      <c r="I73" s="16" t="n">
        <v>24</v>
      </c>
      <c r="J73" s="19" t="n">
        <v>1.7</v>
      </c>
      <c r="K73" s="16" t="n">
        <v>1411</v>
      </c>
      <c r="L73" s="19" t="n">
        <v>20.4</v>
      </c>
      <c r="M73" s="16" t="n">
        <v>131</v>
      </c>
      <c r="N73" s="16" t="n">
        <v>119</v>
      </c>
      <c r="O73" s="19" t="n">
        <v>314.4</v>
      </c>
    </row>
    <row r="74" customFormat="false" ht="15" hidden="false" customHeight="false" outlineLevel="0" collapsed="false">
      <c r="A74" s="15" t="n">
        <v>46322</v>
      </c>
      <c r="B74" s="16" t="n">
        <v>29</v>
      </c>
      <c r="C74" s="16" t="n">
        <v>906</v>
      </c>
      <c r="D74" s="16" t="n">
        <v>870</v>
      </c>
      <c r="E74" s="19" t="n">
        <v>39.04</v>
      </c>
      <c r="F74" s="16" t="n">
        <v>8</v>
      </c>
      <c r="G74" s="16" t="n">
        <v>689</v>
      </c>
      <c r="H74" s="16" t="n">
        <v>436</v>
      </c>
      <c r="I74" s="16" t="n">
        <v>23</v>
      </c>
      <c r="J74" s="19" t="n">
        <v>1.6</v>
      </c>
      <c r="K74" s="16" t="n">
        <v>1424</v>
      </c>
      <c r="L74" s="19" t="n">
        <v>20.4</v>
      </c>
      <c r="M74" s="16" t="n">
        <v>132</v>
      </c>
      <c r="N74" s="16" t="n">
        <v>121</v>
      </c>
      <c r="O74" s="19" t="n">
        <v>325.5</v>
      </c>
    </row>
    <row r="75" customFormat="false" ht="15" hidden="false" customHeight="false" outlineLevel="0" collapsed="false">
      <c r="A75" s="15" t="n">
        <v>46323</v>
      </c>
      <c r="B75" s="16" t="n">
        <v>29</v>
      </c>
      <c r="C75" s="16" t="n">
        <v>906</v>
      </c>
      <c r="D75" s="16" t="n">
        <v>870</v>
      </c>
      <c r="E75" s="19" t="n">
        <v>39.4</v>
      </c>
      <c r="F75" s="16" t="n">
        <v>7</v>
      </c>
      <c r="G75" s="16" t="n">
        <v>698</v>
      </c>
      <c r="H75" s="16" t="n">
        <v>439</v>
      </c>
      <c r="I75" s="16" t="n">
        <v>22</v>
      </c>
      <c r="J75" s="19" t="n">
        <v>1.5</v>
      </c>
      <c r="K75" s="16" t="n">
        <v>1501</v>
      </c>
      <c r="L75" s="19" t="n">
        <v>20.9</v>
      </c>
      <c r="M75" s="16" t="n">
        <v>138</v>
      </c>
      <c r="N75" s="16" t="n">
        <v>122</v>
      </c>
      <c r="O75" s="19" t="n">
        <v>318.4</v>
      </c>
    </row>
    <row r="76" customFormat="false" ht="15" hidden="false" customHeight="false" outlineLevel="0" collapsed="false">
      <c r="A76" s="15" t="n">
        <v>46324</v>
      </c>
      <c r="B76" s="16" t="n">
        <v>29</v>
      </c>
      <c r="C76" s="16" t="n">
        <v>906</v>
      </c>
      <c r="D76" s="16" t="n">
        <v>870</v>
      </c>
      <c r="E76" s="19" t="n">
        <v>39.09</v>
      </c>
      <c r="F76" s="16" t="n">
        <v>4</v>
      </c>
      <c r="G76" s="16" t="n">
        <v>683</v>
      </c>
      <c r="H76" s="16" t="n">
        <v>434</v>
      </c>
      <c r="I76" s="16" t="n">
        <v>21</v>
      </c>
      <c r="J76" s="19" t="n">
        <v>1.3</v>
      </c>
      <c r="K76" s="16" t="n">
        <v>1580</v>
      </c>
      <c r="L76" s="19" t="n">
        <v>21.1</v>
      </c>
      <c r="M76" s="16" t="n">
        <v>139</v>
      </c>
      <c r="N76" s="16" t="n">
        <v>122</v>
      </c>
      <c r="O76" s="19" t="n">
        <v>318.2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 customFormat="false" ht="15" hidden="false" customHeight="false" outlineLevel="0" collapsed="false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  <row r="67" customFormat="false" ht="15" hidden="false" customHeight="false" outlineLevel="0" collapsed="false">
      <c r="A67" s="15" t="n">
        <v>46316</v>
      </c>
      <c r="B67" s="16" t="n">
        <v>93</v>
      </c>
      <c r="C67" s="16" t="n">
        <v>98</v>
      </c>
      <c r="D67" s="16" t="n">
        <v>97</v>
      </c>
      <c r="E67" s="16" t="n">
        <v>93</v>
      </c>
      <c r="F67" s="16" t="n">
        <v>118</v>
      </c>
      <c r="G67" s="16" t="n">
        <v>98</v>
      </c>
      <c r="H67" s="16" t="n">
        <v>119</v>
      </c>
      <c r="I67" s="16" t="n">
        <v>98</v>
      </c>
      <c r="J67" s="16" t="n">
        <v>308</v>
      </c>
      <c r="K67" s="16" t="n">
        <v>253</v>
      </c>
      <c r="L67" s="16" t="n">
        <v>242263</v>
      </c>
    </row>
    <row r="68" customFormat="false" ht="15" hidden="false" customHeight="false" outlineLevel="0" collapsed="false">
      <c r="A68" s="15" t="n">
        <v>46317</v>
      </c>
      <c r="B68" s="16" t="n">
        <v>93</v>
      </c>
      <c r="C68" s="16" t="n">
        <v>98</v>
      </c>
      <c r="D68" s="16" t="n">
        <v>97</v>
      </c>
      <c r="E68" s="16" t="n">
        <v>93</v>
      </c>
      <c r="F68" s="16" t="n">
        <v>118</v>
      </c>
      <c r="G68" s="16" t="n">
        <v>98</v>
      </c>
      <c r="H68" s="16" t="n">
        <v>119</v>
      </c>
      <c r="I68" s="16" t="n">
        <v>98</v>
      </c>
      <c r="J68" s="19" t="n">
        <v>311.2</v>
      </c>
      <c r="K68" s="16" t="n">
        <v>255</v>
      </c>
      <c r="L68" s="16" t="n">
        <v>243021</v>
      </c>
    </row>
    <row r="69" customFormat="false" ht="15" hidden="false" customHeight="false" outlineLevel="0" collapsed="false">
      <c r="A69" s="15" t="n">
        <v>46318</v>
      </c>
      <c r="B69" s="16" t="n">
        <v>93</v>
      </c>
      <c r="C69" s="16" t="n">
        <v>98</v>
      </c>
      <c r="D69" s="16" t="n">
        <v>97</v>
      </c>
      <c r="E69" s="16" t="n">
        <v>93</v>
      </c>
      <c r="F69" s="16" t="n">
        <v>118</v>
      </c>
      <c r="G69" s="16" t="n">
        <v>98</v>
      </c>
      <c r="H69" s="16" t="n">
        <v>119</v>
      </c>
      <c r="I69" s="16" t="n">
        <v>98</v>
      </c>
      <c r="J69" s="19" t="n">
        <v>310.4</v>
      </c>
      <c r="K69" s="16" t="n">
        <v>256</v>
      </c>
      <c r="L69" s="16" t="n">
        <v>243401</v>
      </c>
    </row>
    <row r="70" customFormat="false" ht="15" hidden="false" customHeight="false" outlineLevel="0" collapsed="false">
      <c r="A70" s="15" t="n">
        <v>46321</v>
      </c>
      <c r="B70" s="16" t="n">
        <v>93</v>
      </c>
      <c r="C70" s="16" t="n">
        <v>98</v>
      </c>
      <c r="D70" s="16" t="n">
        <v>97</v>
      </c>
      <c r="E70" s="16" t="n">
        <v>93</v>
      </c>
      <c r="F70" s="16" t="n">
        <v>118</v>
      </c>
      <c r="G70" s="16" t="n">
        <v>98</v>
      </c>
      <c r="H70" s="16" t="n">
        <v>119</v>
      </c>
      <c r="I70" s="16" t="n">
        <v>98</v>
      </c>
      <c r="J70" s="19" t="n">
        <v>314.4</v>
      </c>
      <c r="K70" s="16" t="n">
        <v>249</v>
      </c>
      <c r="L70" s="16" t="n">
        <v>243401</v>
      </c>
    </row>
    <row r="71" customFormat="false" ht="15" hidden="false" customHeight="false" outlineLevel="0" collapsed="false">
      <c r="A71" s="15" t="n">
        <v>46322</v>
      </c>
      <c r="B71" s="16" t="n">
        <v>94</v>
      </c>
      <c r="C71" s="16" t="n">
        <v>98</v>
      </c>
      <c r="D71" s="16" t="n">
        <v>97</v>
      </c>
      <c r="E71" s="16" t="n">
        <v>93</v>
      </c>
      <c r="F71" s="16" t="n">
        <v>120</v>
      </c>
      <c r="G71" s="16" t="n">
        <v>98</v>
      </c>
      <c r="H71" s="16" t="n">
        <v>121</v>
      </c>
      <c r="I71" s="16" t="n">
        <v>98</v>
      </c>
      <c r="J71" s="19" t="n">
        <v>325.5</v>
      </c>
      <c r="K71" s="19" t="n">
        <v>262.5</v>
      </c>
      <c r="L71" s="16" t="n">
        <v>247309</v>
      </c>
    </row>
    <row r="72" customFormat="false" ht="15" hidden="false" customHeight="false" outlineLevel="0" collapsed="false">
      <c r="A72" s="15" t="n">
        <v>46323</v>
      </c>
      <c r="B72" s="16" t="n">
        <v>94</v>
      </c>
      <c r="C72" s="16" t="n">
        <v>98</v>
      </c>
      <c r="D72" s="16" t="n">
        <v>97</v>
      </c>
      <c r="E72" s="16" t="n">
        <v>93</v>
      </c>
      <c r="F72" s="16" t="n">
        <v>121</v>
      </c>
      <c r="G72" s="16" t="n">
        <v>99</v>
      </c>
      <c r="H72" s="16" t="n">
        <v>122</v>
      </c>
      <c r="I72" s="16" t="n">
        <v>98</v>
      </c>
      <c r="J72" s="19" t="n">
        <v>318.4</v>
      </c>
      <c r="K72" s="16" t="n">
        <v>257</v>
      </c>
      <c r="L72" s="16" t="n">
        <v>249426</v>
      </c>
    </row>
    <row r="73" customFormat="false" ht="15" hidden="false" customHeight="false" outlineLevel="0" collapsed="false">
      <c r="A73" s="15" t="n">
        <v>46324</v>
      </c>
      <c r="B73" s="16" t="n">
        <v>94</v>
      </c>
      <c r="C73" s="16" t="n">
        <v>98</v>
      </c>
      <c r="D73" s="16" t="n">
        <v>97</v>
      </c>
      <c r="E73" s="16" t="n">
        <v>93</v>
      </c>
      <c r="F73" s="16" t="n">
        <v>121</v>
      </c>
      <c r="G73" s="16" t="n">
        <v>99</v>
      </c>
      <c r="H73" s="16" t="n">
        <v>122</v>
      </c>
      <c r="I73" s="16" t="n">
        <v>98</v>
      </c>
      <c r="J73" s="19" t="n">
        <v>318.2</v>
      </c>
      <c r="K73" s="16" t="n">
        <v>258</v>
      </c>
      <c r="L73" s="16" t="n">
        <v>249426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ngày'!B6:B120,'Social — theo ngày'!$A$6:$A$120,"&gt;="&amp;DATE(2026,7,1),'Social — theo ngày'!$A$6:$A$120,"&lt;="&amp;DATE(2026,7,31))</f>
        <v>125</v>
      </c>
      <c r="C7" s="16" t="n">
        <f aca="false">SUMIFS('Social — theo ngày'!B6:B120,'Social — theo ngày'!$A$6:$A$120,"&gt;="&amp;DATE(2026,8,1),'Social — theo ngày'!$A$6:$A$120,"&lt;="&amp;DATE(2026,8,31))</f>
        <v>195</v>
      </c>
      <c r="D7" s="16" t="n">
        <f aca="false">SUMIFS('Social — theo ngày'!B6:B120,'Social — theo ngày'!$A$6:$A$120,"&gt;="&amp;DATE(2026,9,1),'Social — theo ngày'!$A$6:$A$120,"&lt;="&amp;DATE(2026,9,30))</f>
        <v>160</v>
      </c>
      <c r="E7" s="16" t="n">
        <f aca="false">SUMIFS('Social — theo ngày'!B6:B120,'Social — theo ngày'!$A$6:$A$120,"&gt;="&amp;DATE(2026,10,1),'Social — theo ngày'!$A$6:$A$120,"&lt;="&amp;DATE(2026,10,31))</f>
        <v>152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ngày'!C6:C120,'Social — theo ngày'!$A$6:$A$120,"&gt;="&amp;DATE(2026,7,1),'Social — theo ngày'!$A$6:$A$120,"&lt;="&amp;DATE(2026,7,31))</f>
        <v>106</v>
      </c>
      <c r="C8" s="16" t="n">
        <f aca="false">SUMIFS('Social — theo ngày'!C6:C120,'Social — theo ngày'!$A$6:$A$120,"&gt;="&amp;DATE(2026,8,1),'Social — theo ngày'!$A$6:$A$120,"&lt;="&amp;DATE(2026,8,31))</f>
        <v>147</v>
      </c>
      <c r="D8" s="16" t="n">
        <f aca="false">SUMIFS('Social — theo ngày'!C6:C120,'Social — theo ngày'!$A$6:$A$120,"&gt;="&amp;DATE(2026,9,1),'Social — theo ngày'!$A$6:$A$120,"&lt;="&amp;DATE(2026,9,30))</f>
        <v>354</v>
      </c>
      <c r="E8" s="16" t="n">
        <f aca="false">SUMIFS('Social — theo ngày'!C6:C120,'Social — theo ngày'!$A$6:$A$120,"&gt;="&amp;DATE(2026,10,1),'Social — theo ngày'!$A$6:$A$120,"&lt;="&amp;DATE(2026,10,31))</f>
        <v>433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ngày'!D6:D120,'Social — theo ngày'!$A$6:$A$120,"&gt;="&amp;DATE(2026,7,1),'Social — theo ngày'!$A$6:$A$120,"&lt;="&amp;DATE(2026,7,31))</f>
        <v>3579</v>
      </c>
      <c r="C9" s="16" t="n">
        <f aca="false">SUMIFS('Social — theo ngày'!D6:D120,'Social — theo ngày'!$A$6:$A$120,"&gt;="&amp;DATE(2026,8,1),'Social — theo ngày'!$A$6:$A$120,"&lt;="&amp;DATE(2026,8,31))</f>
        <v>4978</v>
      </c>
      <c r="D9" s="16" t="n">
        <f aca="false">SUMIFS('Social — theo ngày'!D6:D120,'Social — theo ngày'!$A$6:$A$120,"&gt;="&amp;DATE(2026,9,1),'Social — theo ngày'!$A$6:$A$120,"&lt;="&amp;DATE(2026,9,30))</f>
        <v>4776</v>
      </c>
      <c r="E9" s="16" t="n">
        <f aca="false">SUMIFS('Social — theo ngày'!D6:D120,'Social — theo ngày'!$A$6:$A$120,"&gt;="&amp;DATE(2026,10,1),'Social — theo ngày'!$A$6:$A$120,"&lt;="&amp;DATE(2026,10,31))</f>
        <v>4037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ngày'!E6:E120,'Social — theo ngày'!$A$6:$A$120,"&gt;="&amp;DATE(2026,7,1),'Social — theo ngày'!$A$6:$A$120,"&lt;="&amp;DATE(2026,7,31))</f>
        <v>189</v>
      </c>
      <c r="C10" s="16" t="n">
        <f aca="false">SUMIFS('Social — theo ngày'!E6:E120,'Social — theo ngày'!$A$6:$A$120,"&gt;="&amp;DATE(2026,8,1),'Social — theo ngày'!$A$6:$A$120,"&lt;="&amp;DATE(2026,8,31))</f>
        <v>314</v>
      </c>
      <c r="D10" s="16" t="n">
        <f aca="false">SUMIFS('Social — theo ngày'!E6:E120,'Social — theo ngày'!$A$6:$A$120,"&gt;="&amp;DATE(2026,9,1),'Social — theo ngày'!$A$6:$A$120,"&lt;="&amp;DATE(2026,9,30))</f>
        <v>425</v>
      </c>
      <c r="E10" s="16" t="n">
        <f aca="false">SUMIFS('Social — theo ngày'!E6:E120,'Social — theo ngày'!$A$6:$A$120,"&gt;="&amp;DATE(2026,10,1),'Social — theo ngày'!$A$6:$A$120,"&lt;="&amp;DATE(2026,10,31))</f>
        <v>650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ngày'!F6:F120,'Social — theo ngày'!$A$6:$A$120,"&gt;="&amp;DATE(2026,7,1),'Social — theo ngày'!$A$6:$A$120,"&lt;="&amp;DATE(2026,7,31))</f>
        <v>51</v>
      </c>
      <c r="C11" s="16" t="n">
        <f aca="false">SUMIFS('Social — theo ngày'!F6:F120,'Social — theo ngày'!$A$6:$A$120,"&gt;="&amp;DATE(2026,8,1),'Social — theo ngày'!$A$6:$A$120,"&lt;="&amp;DATE(2026,8,31))</f>
        <v>69</v>
      </c>
      <c r="D11" s="16" t="n">
        <f aca="false">SUMIFS('Social — theo ngày'!F6:F120,'Social — theo ngày'!$A$6:$A$120,"&gt;="&amp;DATE(2026,9,1),'Social — theo ngày'!$A$6:$A$120,"&lt;="&amp;DATE(2026,9,30))</f>
        <v>25</v>
      </c>
      <c r="E11" s="16" t="n">
        <f aca="false">SUMIFS('Social — theo ngày'!F6:F120,'Social — theo ngày'!$A$6:$A$120,"&gt;="&amp;DATE(2026,10,1),'Social — theo ngày'!$A$6:$A$120,"&lt;="&amp;DATE(2026,10,31))</f>
        <v>64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ngày'!G6:G120,'Social — theo ngày'!$A$6:$A$120,"&gt;="&amp;DATE(2026,7,1),'Social — theo ngày'!$A$6:$A$120,"&lt;="&amp;DATE(2026,7,31))</f>
        <v>275</v>
      </c>
      <c r="C12" s="16" t="n">
        <f aca="false">SUMIFS('Social — theo ngày'!G6:G120,'Social — theo ngày'!$A$6:$A$120,"&gt;="&amp;DATE(2026,8,1),'Social — theo ngày'!$A$6:$A$120,"&lt;="&amp;DATE(2026,8,31))</f>
        <v>387</v>
      </c>
      <c r="D12" s="16" t="n">
        <f aca="false">SUMIFS('Social — theo ngày'!G6:G120,'Social — theo ngày'!$A$6:$A$120,"&gt;="&amp;DATE(2026,9,1),'Social — theo ngày'!$A$6:$A$120,"&lt;="&amp;DATE(2026,9,30))</f>
        <v>177</v>
      </c>
      <c r="E12" s="16" t="n">
        <f aca="false">SUMIFS('Social — theo ngày'!G6:G120,'Social — theo ngày'!$A$6:$A$120,"&gt;="&amp;DATE(2026,10,1),'Social — theo ngày'!$A$6:$A$120,"&lt;="&amp;DATE(2026,10,31))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ngày'!H6:H120,'Social — theo ngày'!$A$6:$A$120,"&gt;="&amp;DATE(2026,7,1),'Social — theo ngày'!$A$6:$A$120,"&lt;="&amp;DATE(2026,7,31))</f>
        <v>869</v>
      </c>
      <c r="C13" s="16" t="n">
        <f aca="false">SUMIFS('Social — theo ngày'!H6:H120,'Social — theo ngày'!$A$6:$A$120,"&gt;="&amp;DATE(2026,8,1),'Social — theo ngày'!$A$6:$A$120,"&lt;="&amp;DATE(2026,8,31))</f>
        <v>1161</v>
      </c>
      <c r="D13" s="16" t="n">
        <f aca="false">SUMIFS('Social — theo ngày'!H6:H120,'Social — theo ngày'!$A$6:$A$120,"&gt;="&amp;DATE(2026,9,1),'Social — theo ngày'!$A$6:$A$120,"&lt;="&amp;DATE(2026,9,30))</f>
        <v>2465</v>
      </c>
      <c r="E13" s="16" t="n">
        <f aca="false">SUMIFS('Social — theo ngày'!H6:H120,'Social — theo ngày'!$A$6:$A$120,"&gt;="&amp;DATE(2026,10,1),'Social — theo ngày'!$A$6:$A$120,"&lt;="&amp;DATE(2026,10,31))</f>
        <v>1769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ngày'!B76</f>
        <v>117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ngày'!C76</f>
        <v>167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ngày'!D76</f>
        <v>4199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ngày'!E76</f>
        <v>653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ngày'!F76</f>
        <v>50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ngày'!G76</f>
        <v>66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ngày'!H76</f>
        <v>337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ngày'!I76</f>
        <v>1916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ngày'!J76</f>
        <v>141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ngày'!K76</f>
        <v>1268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ngày'!L76</f>
        <v>82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ngày'!M76</f>
        <v>39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ngày'!N76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ngày'!O76</f>
        <v>869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SEO!B76</f>
        <v>29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SEO!C76</f>
        <v>906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SEO!D76</f>
        <v>870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SEO!E76</f>
        <v>39.09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SEO!F76</f>
        <v>4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SEO!G76</f>
        <v>683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SEO!H76</f>
        <v>434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SEO!I76</f>
        <v>21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SEO!J76</f>
        <v>1.3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SEO!K76</f>
        <v>1580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SEO!L76</f>
        <v>21.1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SEO!M76</f>
        <v>139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SEO!N76</f>
        <v>122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SEO!O76</f>
        <v>318.2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Audit!B73</f>
        <v>94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Audit!C73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Audit!D73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Audit!E73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Audit!F73</f>
        <v>121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Audit!G73</f>
        <v>99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Audit!H73</f>
        <v>122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Audit!I73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Audit!J73</f>
        <v>318.2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Audit!K73</f>
        <v>258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Audit!L73</f>
        <v>249426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2026-10-29T03:34:22Z</dcterms:created>
  <dc:creator>openpyxl</dc:creator>
  <dc:description/>
  <dc:language>en-US</dc:language>
  <cp:lastModifiedBy/>
  <dcterms:modified xsi:type="dcterms:W3CDTF">2026-10-29T03:34:22Z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