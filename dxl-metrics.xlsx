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<sst xmlns="http://schemas.openxmlformats.org/spreadsheetml/2006/main" count="216" uniqueCount="97">
  <si>
    <t xml:space="preserve">DX Living — dữ liệu báo cáo theo ngày</t>
  </si>
  <si>
    <t xml:space="preserve">Xuất ngày 2026-10-05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</si>
  <si>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</si>
  <si>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</si>
  <si>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</si>
  <si>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</si>
  <si>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</si>
  <si>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</si>
  <si>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</si>
  <si>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</si>
  <si>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</si>
  <si>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</si>
  <si>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</si>
  <si>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</si>
  <si>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</si>
  <si>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</si>
  <si>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</si>
  <si>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</si>
  <si>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</si>
  <si>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</si>
  <si>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</si>
  <si>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</si>
  <si>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</si>
  <si>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92 dòng × 7 chỉ số · 2026-07-05 → 2026-10-04</t>
  </si>
  <si>
    <t xml:space="preserve">Social — 28 ngày</t>
  </si>
  <si>
    <t xml:space="preserve">54 dòng × 14 chỉ số · 2026-07-23 → 2026-10-06</t>
  </si>
  <si>
    <t xml:space="preserve">SEO</t>
  </si>
  <si>
    <t xml:space="preserve">54 dòng × 14 chỉ số · 2026-06-30 → 2026-10-06</t>
  </si>
  <si>
    <t xml:space="preserve">Audit</t>
  </si>
  <si>
    <t xml:space="preserve">51 dòng × 11 chỉ số · 2026-07-27 → 2026-10-06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</si>
  <si>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</si>
  <si>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92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</si>
  <si>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</si>
  <si>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</si>
  <si>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</si>
  <si>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</si>
  <si>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</si>
  <si>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</si>
  <si>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</si>
  <si>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</si>
  <si>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</si>
  <si>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</si>
  <si>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54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</si>
  <si>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</si>
  <si>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</si>
  <si>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</si>
  <si>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</si>
  <si>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</si>
  <si>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</si>
  <si>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</si>
  <si>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</si>
  <si>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</si>
  <si>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</si>
  <si>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</si>
  <si>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</si>
  <si>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</si>
  <si>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</si>
  <si>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</si>
  <si>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54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</si>
  <si>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</si>
  <si>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</si>
  <si>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</si>
  <si>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</si>
  <si>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</si>
  <si>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</si>
  <si>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</si>
  <si>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</si>
  <si>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</si>
  <si>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</si>
  <si>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</si>
  <si>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</si>
  <si>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</si>
  <si>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</si>
  <si>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</si>
  <si>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51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</si>
  <si>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</si>
  <si>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</si>
  <si>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</si>
  <si>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</si>
  <si>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</si>
  <si>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</si>
  <si>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</si>
  <si>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</si>
  <si>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</si>
  <si>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</si>
  <si>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</si>
  <si>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</si>
  <si>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</si>
  <si>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</si>
  <si>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</si>
  <si>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</si>
  <si>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</si>
  <si>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2026-10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</si>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</sst>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3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0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3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0</v>
      </c>
      <c r="G78" s="16" t="n">
        <v>39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3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24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5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6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4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8</v>
      </c>
      <c r="H93" s="16" t="n">
        <v>147</v>
      </c>
    </row>
    <row r="94" customFormat="false" ht="15" hidden="false" customHeight="false" outlineLevel="0" collapsed="false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35</v>
      </c>
      <c r="H94" s="16" t="n">
        <v>105</v>
      </c>
    </row>
    <row r="95" customFormat="false" ht="15" hidden="false" customHeight="false" outlineLevel="0" collapsed="false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  <row r="96" customFormat="false" ht="15" hidden="false" customHeight="false" outlineLevel="0" collapsed="false">
      <c r="A96" s="15" t="n">
        <v>46298</v>
      </c>
      <c r="B96" s="16" t="n">
        <v>2</v>
      </c>
      <c r="C96" s="16" t="n">
        <v>6</v>
      </c>
      <c r="D96" s="16" t="n">
        <v>54</v>
      </c>
      <c r="E96" s="16" t="n">
        <v>0</v>
      </c>
      <c r="F96" s="16" t="n">
        <v>1</v>
      </c>
      <c r="G96" s="16" t="n">
        <v>3</v>
      </c>
      <c r="H96" s="16" t="n">
        <v>17</v>
      </c>
    </row>
    <row r="97" customFormat="false" ht="15" hidden="false" customHeight="false" outlineLevel="0" collapsed="false">
      <c r="A97" s="15" t="n">
        <v>46299</v>
      </c>
      <c r="B97" s="16" t="n">
        <v>0</v>
      </c>
      <c r="C97" s="16" t="n">
        <v>4</v>
      </c>
      <c r="D97" s="16" t="n">
        <v>45</v>
      </c>
      <c r="E97" s="16" t="n">
        <v>2</v>
      </c>
      <c r="F97" s="16" t="n">
        <v>0</v>
      </c>
      <c r="G97" s="16" t="n">
        <v>1</v>
      </c>
      <c r="H97" s="16" t="n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 customFormat="false" ht="15" hidden="false" customHeight="false" outlineLevel="0" collapsed="false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  <row r="58" customFormat="false" ht="15" hidden="false" customHeight="false" outlineLevel="0" collapsed="false">
      <c r="A58" s="15" t="n">
        <v>46300</v>
      </c>
      <c r="B58" s="16" t="n">
        <v>116</v>
      </c>
      <c r="C58" s="16" t="n">
        <v>158</v>
      </c>
      <c r="D58" s="16" t="n">
        <v>4404</v>
      </c>
      <c r="E58" s="16" t="n">
        <v>401</v>
      </c>
      <c r="F58" s="16" t="n">
        <v>49</v>
      </c>
      <c r="G58" s="16" t="n">
        <v>33</v>
      </c>
      <c r="H58" s="16" t="n">
        <v>117</v>
      </c>
      <c r="I58" s="16" t="n">
        <v>2616</v>
      </c>
      <c r="J58" s="16" t="n">
        <v>102</v>
      </c>
      <c r="K58" s="16" t="n">
        <v>1282</v>
      </c>
      <c r="L58" s="16" t="n">
        <v>33</v>
      </c>
      <c r="M58" s="16" t="n">
        <v>36</v>
      </c>
      <c r="N58" s="16" t="n">
        <v>7</v>
      </c>
      <c r="O58" s="16" t="n">
        <v>938</v>
      </c>
    </row>
    <row r="59" customFormat="false" ht="15" hidden="false" customHeight="false" outlineLevel="0" collapsed="false">
      <c r="A59" s="15" t="n">
        <v>46301</v>
      </c>
      <c r="B59" s="16" t="n">
        <v>116</v>
      </c>
      <c r="C59" s="16" t="n">
        <v>158</v>
      </c>
      <c r="D59" s="16" t="n">
        <v>4380</v>
      </c>
      <c r="E59" s="16" t="n">
        <v>366</v>
      </c>
      <c r="F59" s="16" t="n">
        <v>49</v>
      </c>
      <c r="G59" s="16" t="n">
        <v>33</v>
      </c>
      <c r="H59" s="16" t="n">
        <v>117</v>
      </c>
      <c r="I59" s="16" t="n">
        <v>2610</v>
      </c>
      <c r="J59" s="16" t="n">
        <v>102</v>
      </c>
      <c r="K59" s="16" t="n">
        <v>1253</v>
      </c>
      <c r="L59" s="16" t="n">
        <v>31</v>
      </c>
      <c r="M59" s="16" t="n">
        <v>37</v>
      </c>
      <c r="N59" s="16" t="n">
        <v>7</v>
      </c>
      <c r="O59" s="16" t="n">
        <v>940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 customFormat="false" ht="15" hidden="false" customHeight="false" outlineLevel="0" collapsed="false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  <row r="58" customFormat="false" ht="15" hidden="false" customHeight="false" outlineLevel="0" collapsed="false">
      <c r="A58" s="15" t="n">
        <v>46300</v>
      </c>
      <c r="B58" s="16" t="n">
        <v>14</v>
      </c>
      <c r="C58" s="16" t="n">
        <v>918</v>
      </c>
      <c r="D58" s="16" t="n">
        <v>882</v>
      </c>
      <c r="E58" s="19" t="n">
        <v>35.18</v>
      </c>
      <c r="F58" s="16" t="n">
        <v>7</v>
      </c>
      <c r="G58" s="16" t="n">
        <v>597</v>
      </c>
      <c r="H58" s="16" t="n">
        <v>414</v>
      </c>
      <c r="I58" s="16" t="n">
        <v>22</v>
      </c>
      <c r="J58" s="19" t="n">
        <v>2.8</v>
      </c>
      <c r="K58" s="16" t="n">
        <v>778</v>
      </c>
      <c r="L58" s="19" t="n">
        <v>19.3</v>
      </c>
      <c r="M58" s="16" t="n">
        <v>83</v>
      </c>
      <c r="N58" s="16" t="n">
        <v>119</v>
      </c>
      <c r="O58" s="16" t="n">
        <v>326</v>
      </c>
    </row>
    <row r="59" customFormat="false" ht="15" hidden="false" customHeight="false" outlineLevel="0" collapsed="false">
      <c r="A59" s="15" t="n">
        <v>46301</v>
      </c>
      <c r="B59" s="16" t="n">
        <v>13</v>
      </c>
      <c r="C59" s="16" t="n">
        <v>918</v>
      </c>
      <c r="D59" s="16" t="n">
        <v>882</v>
      </c>
      <c r="E59" s="19" t="n">
        <v>34.22</v>
      </c>
      <c r="F59" s="16" t="n">
        <v>7</v>
      </c>
      <c r="G59" s="16" t="n">
        <v>599</v>
      </c>
      <c r="H59" s="16" t="n">
        <v>417</v>
      </c>
      <c r="I59" s="16" t="n">
        <v>22</v>
      </c>
      <c r="J59" s="19" t="n">
        <v>2.9</v>
      </c>
      <c r="K59" s="16" t="n">
        <v>763</v>
      </c>
      <c r="L59" s="19" t="n">
        <v>19.6</v>
      </c>
      <c r="M59" s="16" t="n">
        <v>83</v>
      </c>
      <c r="N59" s="16" t="n">
        <v>119</v>
      </c>
      <c r="O59" s="16" t="n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 customFormat="false" ht="15" hidden="false" customHeight="false" outlineLevel="0" collapsed="false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  <row r="55" customFormat="false" ht="15" hidden="false" customHeight="false" outlineLevel="0" collapsed="false">
      <c r="A55" s="15" t="n">
        <v>46300</v>
      </c>
      <c r="B55" s="16" t="n">
        <v>93</v>
      </c>
      <c r="C55" s="16" t="n">
        <v>98</v>
      </c>
      <c r="D55" s="16" t="n">
        <v>97</v>
      </c>
      <c r="E55" s="16" t="n">
        <v>94</v>
      </c>
      <c r="F55" s="16" t="n">
        <v>118</v>
      </c>
      <c r="G55" s="16" t="n">
        <v>98</v>
      </c>
      <c r="H55" s="16" t="n">
        <v>119</v>
      </c>
      <c r="I55" s="16" t="n">
        <v>98</v>
      </c>
      <c r="J55" s="16" t="n">
        <v>326</v>
      </c>
      <c r="K55" s="19" t="n">
        <v>271.5</v>
      </c>
      <c r="L55" s="16" t="n">
        <v>241675</v>
      </c>
    </row>
    <row r="56" customFormat="false" ht="15" hidden="false" customHeight="false" outlineLevel="0" collapsed="false">
      <c r="A56" s="15" t="n">
        <v>46301</v>
      </c>
      <c r="B56" s="16" t="n">
        <v>93</v>
      </c>
      <c r="C56" s="16" t="n">
        <v>99</v>
      </c>
      <c r="D56" s="16" t="n">
        <v>97</v>
      </c>
      <c r="E56" s="16" t="n">
        <v>94</v>
      </c>
      <c r="F56" s="16" t="n">
        <v>118</v>
      </c>
      <c r="G56" s="16" t="n">
        <v>98</v>
      </c>
      <c r="H56" s="16" t="n">
        <v>119</v>
      </c>
      <c r="I56" s="16" t="n">
        <v>98</v>
      </c>
      <c r="J56" s="16" t="n">
        <v>333</v>
      </c>
      <c r="K56" s="19" t="n">
        <v>282.5</v>
      </c>
      <c r="L56" s="16" t="n">
        <v>241675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  <c r="E6" s="21" t="s">
        <v>92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ngày'!B6:B97,'Social — theo ngày'!$A$6:$A$97,"&gt;="&amp;DATE(2026,7,1),'Social — theo ngày'!$A$6:$A$97,"&lt;="&amp;DATE(2026,7,31))</f>
        <v>125</v>
      </c>
      <c r="C7" s="16" t="n">
        <f aca="false">SUMIFS('Social — theo ngày'!B6:B97,'Social — theo ngày'!$A$6:$A$97,"&gt;="&amp;DATE(2026,8,1),'Social — theo ngày'!$A$6:$A$97,"&lt;="&amp;DATE(2026,8,31))</f>
        <v>195</v>
      </c>
      <c r="D7" s="16" t="n">
        <f aca="false">SUMIFS('Social — theo ngày'!B6:B97,'Social — theo ngày'!$A$6:$A$97,"&gt;="&amp;DATE(2026,9,1),'Social — theo ngày'!$A$6:$A$97,"&lt;="&amp;DATE(2026,9,30))</f>
        <v>160</v>
      </c>
      <c r="E7" s="16" t="n">
        <f aca="false">SUMIFS('Social — theo ngày'!B6:B97,'Social — theo ngày'!$A$6:$A$97,"&gt;="&amp;DATE(2026,10,1),'Social — theo ngày'!$A$6:$A$97,"&lt;="&amp;DATE(2026,10,31))</f>
        <v>23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ngày'!C6:C97,'Social — theo ngày'!$A$6:$A$97,"&gt;="&amp;DATE(2026,7,1),'Social — theo ngày'!$A$6:$A$97,"&lt;="&amp;DATE(2026,7,31))</f>
        <v>106</v>
      </c>
      <c r="C8" s="16" t="n">
        <f aca="false">SUMIFS('Social — theo ngày'!C6:C97,'Social — theo ngày'!$A$6:$A$97,"&gt;="&amp;DATE(2026,8,1),'Social — theo ngày'!$A$6:$A$97,"&lt;="&amp;DATE(2026,8,31))</f>
        <v>147</v>
      </c>
      <c r="D8" s="16" t="n">
        <f aca="false">SUMIFS('Social — theo ngày'!C6:C97,'Social — theo ngày'!$A$6:$A$97,"&gt;="&amp;DATE(2026,9,1),'Social — theo ngày'!$A$6:$A$97,"&lt;="&amp;DATE(2026,9,30))</f>
        <v>354</v>
      </c>
      <c r="E8" s="16" t="n">
        <f aca="false">SUMIFS('Social — theo ngày'!C6:C97,'Social — theo ngày'!$A$6:$A$97,"&gt;="&amp;DATE(2026,10,1),'Social — theo ngày'!$A$6:$A$97,"&lt;="&amp;DATE(2026,10,31))</f>
        <v>100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ngày'!D6:D97,'Social — theo ngày'!$A$6:$A$97,"&gt;="&amp;DATE(2026,7,1),'Social — theo ngày'!$A$6:$A$97,"&lt;="&amp;DATE(2026,7,31))</f>
        <v>3579</v>
      </c>
      <c r="C9" s="16" t="n">
        <f aca="false">SUMIFS('Social — theo ngày'!D6:D97,'Social — theo ngày'!$A$6:$A$97,"&gt;="&amp;DATE(2026,8,1),'Social — theo ngày'!$A$6:$A$97,"&lt;="&amp;DATE(2026,8,31))</f>
        <v>4978</v>
      </c>
      <c r="D9" s="16" t="n">
        <f aca="false">SUMIFS('Social — theo ngày'!D6:D97,'Social — theo ngày'!$A$6:$A$97,"&gt;="&amp;DATE(2026,9,1),'Social — theo ngày'!$A$6:$A$97,"&lt;="&amp;DATE(2026,9,30))</f>
        <v>4776</v>
      </c>
      <c r="E9" s="16" t="n">
        <f aca="false">SUMIFS('Social — theo ngày'!D6:D97,'Social — theo ngày'!$A$6:$A$97,"&gt;="&amp;DATE(2026,10,1),'Social — theo ngày'!$A$6:$A$97,"&lt;="&amp;DATE(2026,10,31))</f>
        <v>482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ngày'!E6:E97,'Social — theo ngày'!$A$6:$A$97,"&gt;="&amp;DATE(2026,7,1),'Social — theo ngày'!$A$6:$A$97,"&lt;="&amp;DATE(2026,7,31))</f>
        <v>189</v>
      </c>
      <c r="C10" s="16" t="n">
        <f aca="false">SUMIFS('Social — theo ngày'!E6:E97,'Social — theo ngày'!$A$6:$A$97,"&gt;="&amp;DATE(2026,8,1),'Social — theo ngày'!$A$6:$A$97,"&lt;="&amp;DATE(2026,8,31))</f>
        <v>314</v>
      </c>
      <c r="D10" s="16" t="n">
        <f aca="false">SUMIFS('Social — theo ngày'!E6:E97,'Social — theo ngày'!$A$6:$A$97,"&gt;="&amp;DATE(2026,9,1),'Social — theo ngày'!$A$6:$A$97,"&lt;="&amp;DATE(2026,9,30))</f>
        <v>425</v>
      </c>
      <c r="E10" s="16" t="n">
        <f aca="false">SUMIFS('Social — theo ngày'!E6:E97,'Social — theo ngày'!$A$6:$A$97,"&gt;="&amp;DATE(2026,10,1),'Social — theo ngày'!$A$6:$A$97,"&lt;="&amp;DATE(2026,10,31))</f>
        <v>8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ngày'!F6:F97,'Social — theo ngày'!$A$6:$A$97,"&gt;="&amp;DATE(2026,7,1),'Social — theo ngày'!$A$6:$A$97,"&lt;="&amp;DATE(2026,7,31))</f>
        <v>51</v>
      </c>
      <c r="C11" s="16" t="n">
        <f aca="false">SUMIFS('Social — theo ngày'!F6:F97,'Social — theo ngày'!$A$6:$A$97,"&gt;="&amp;DATE(2026,8,1),'Social — theo ngày'!$A$6:$A$97,"&lt;="&amp;DATE(2026,8,31))</f>
        <v>69</v>
      </c>
      <c r="D11" s="16" t="n">
        <f aca="false">SUMIFS('Social — theo ngày'!F6:F97,'Social — theo ngày'!$A$6:$A$97,"&gt;="&amp;DATE(2026,9,1),'Social — theo ngày'!$A$6:$A$97,"&lt;="&amp;DATE(2026,9,30))</f>
        <v>25</v>
      </c>
      <c r="E11" s="16" t="n">
        <f aca="false">SUMIFS('Social — theo ngày'!F6:F97,'Social — theo ngày'!$A$6:$A$97,"&gt;="&amp;DATE(2026,10,1),'Social — theo ngày'!$A$6:$A$97,"&lt;="&amp;DATE(2026,10,31))</f>
        <v>11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ngày'!G6:G97,'Social — theo ngày'!$A$6:$A$97,"&gt;="&amp;DATE(2026,7,1),'Social — theo ngày'!$A$6:$A$97,"&lt;="&amp;DATE(2026,7,31))</f>
        <v>275</v>
      </c>
      <c r="C12" s="16" t="n">
        <f aca="false">SUMIFS('Social — theo ngày'!G6:G97,'Social — theo ngày'!$A$6:$A$97,"&gt;="&amp;DATE(2026,8,1),'Social — theo ngày'!$A$6:$A$97,"&lt;="&amp;DATE(2026,8,31))</f>
        <v>387</v>
      </c>
      <c r="D12" s="16" t="n">
        <f aca="false">SUMIFS('Social — theo ngày'!G6:G97,'Social — theo ngày'!$A$6:$A$97,"&gt;="&amp;DATE(2026,9,1),'Social — theo ngày'!$A$6:$A$97,"&lt;="&amp;DATE(2026,9,30))</f>
        <v>174</v>
      </c>
      <c r="E12" s="16" t="n">
        <f aca="false">SUMIFS('Social — theo ngày'!G6:G97,'Social — theo ngày'!$A$6:$A$97,"&gt;="&amp;DATE(2026,10,1),'Social — theo ngày'!$A$6:$A$97,"&lt;="&amp;DATE(2026,10,31))</f>
        <v>46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ngày'!H6:H97,'Social — theo ngày'!$A$6:$A$97,"&gt;="&amp;DATE(2026,7,1),'Social — theo ngày'!$A$6:$A$97,"&lt;="&amp;DATE(2026,7,31))</f>
        <v>869</v>
      </c>
      <c r="C13" s="16" t="n">
        <f aca="false">SUMIFS('Social — theo ngày'!H6:H97,'Social — theo ngày'!$A$6:$A$97,"&gt;="&amp;DATE(2026,8,1),'Social — theo ngày'!$A$6:$A$97,"&lt;="&amp;DATE(2026,8,31))</f>
        <v>1161</v>
      </c>
      <c r="D13" s="16" t="n">
        <f aca="false">SUMIFS('Social — theo ngày'!H6:H97,'Social — theo ngày'!$A$6:$A$97,"&gt;="&amp;DATE(2026,9,1),'Social — theo ngày'!$A$6:$A$97,"&lt;="&amp;DATE(2026,9,30))</f>
        <v>2465</v>
      </c>
      <c r="E13" s="16" t="n">
        <f aca="false">SUMIFS('Social — theo ngày'!H6:H97,'Social — theo ngày'!$A$6:$A$97,"&gt;="&amp;DATE(2026,10,1),'Social — theo ngày'!$A$6:$A$97,"&lt;="&amp;DATE(2026,10,31))</f>
        <v>324</v>
      </c>
    </row>
    <row r="15" customFormat="false" ht="15" hidden="false" customHeight="false" outlineLevel="0" collapsed="false">
      <c r="A15" s="23" t="s">
        <v>93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92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ngày'!B59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ngày'!C59</f>
        <v>158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ngày'!D59</f>
        <v>4380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ngày'!E59</f>
        <v>366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ngày'!F59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ngày'!G59</f>
        <v>33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ngày'!H59</f>
        <v>117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ngày'!I59</f>
        <v>2610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ngày'!J59</f>
        <v>102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ngày'!K59</f>
        <v>1253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ngày'!L59</f>
        <v>31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ngày'!M59</f>
        <v>37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ngày'!N59</f>
        <v>7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ngày'!O59</f>
        <v>940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92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SEO!B59</f>
        <v>13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SEO!C59</f>
        <v>918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SEO!D59</f>
        <v>882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SEO!E59</f>
        <v>34.22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SEO!F59</f>
        <v>7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SEO!G59</f>
        <v>599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SEO!H59</f>
        <v>417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SEO!I59</f>
        <v>22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SEO!J59</f>
        <v>2.9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SEO!K59</f>
        <v>763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SEO!L59</f>
        <v>19.6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SEO!M59</f>
        <v>83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SEO!N59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SEO!O59</f>
        <v>333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92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Audit!B56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Audit!C56</f>
        <v>99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Audit!D56</f>
        <v>97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Audit!E56</f>
        <v>94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Audit!F56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Audit!G56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Audit!H56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Audit!I56</f>
        <v>98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Audit!J56</f>
        <v>333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Audit!K56</f>
        <v>282.5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Audit!L56</f>
        <v>241675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2026-10-05T23:49:10Z</dcterms:created>
  <dc:creator>openpyxl</dc:creator>
  <dc:description/>
  <dc:language>en-US</dc:language>
  <cp:lastModifiedBy/>
  <dcterms:modified xsi:type="dcterms:W3CDTF">2026-10-05T23:49:10Z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