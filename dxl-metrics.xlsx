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<sst xmlns="http://schemas.openxmlformats.org/spreadsheetml/2006/main" count="212" uniqueCount="96">
  <si>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</si>
  <si>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2026-09-25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</si>
  <si>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</si>
  <si>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</si>
  <si>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</si>
  <si>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</si>
  <si>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</si>
  <si>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</si>
  <si>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</si>
  <si>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</si>
  <si>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</si>
  <si>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</si>
  <si>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</si>
  <si>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</si>
  <si>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</si>
  <si>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</si>
  <si>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</si>
  <si>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</si>
  <si>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</si>
  <si>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</si>
  <si>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</si>
  <si>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</si>
  <si>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</si>
  <si>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81 dòng × 7 chỉ số · 2026-07-05 → 2026-09-23</t>
  </si>
  <si>
    <t xml:space="preserve">Social — 28 ngày</t>
  </si>
  <si>
    <t xml:space="preserve">45 dòng × 14 chỉ số · 2026-07-23 → 2026-09-25</t>
  </si>
  <si>
    <t xml:space="preserve">SEO</t>
  </si>
  <si>
    <t xml:space="preserve">45 dòng × 14 chỉ số · 2026-06-30 → 2026-09-25</t>
  </si>
  <si>
    <t xml:space="preserve">Audit</t>
  </si>
  <si>
    <t xml:space="preserve">42 dòng × 11 chỉ số · 2026-07-27 → 2026-09-25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</si>
  <si>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</si>
  <si>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81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</si>
  <si>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</si>
  <si>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</si>
  <si>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</si>
  <si>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</si>
  <si>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</si>
  <si>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</si>
  <si>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</si>
  <si>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</si>
  <si>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</si>
  <si>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</si>
  <si>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45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</si>
  <si>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</si>
  <si>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</si>
  <si>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</si>
  <si>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</si>
  <si>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</si>
  <si>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</si>
  <si>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</si>
  <si>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</si>
  <si>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</si>
  <si>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</si>
  <si>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</si>
  <si>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</si>
  <si>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</si>
  <si>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</si>
  <si>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</si>
  <si>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45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</si>
  <si>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</si>
  <si>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</si>
  <si>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</si>
  <si>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</si>
  <si>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</si>
  <si>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</si>
  <si>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</si>
  <si>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</si>
  <si>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</si>
  <si>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</si>
  <si>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</si>
  <si>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</si>
  <si>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</si>
  <si>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</si>
  <si>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</si>
  <si>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42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</si>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</sst>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  <row r="86" customFormat="false" ht="15" hidden="false" customHeight="false" outlineLevel="0" collapsed="false">
      <c r="A86" s="15" t="n">
        <v>46288</v>
      </c>
      <c r="B86" s="16" t="n">
        <v>7</v>
      </c>
      <c r="C86" s="16" t="n">
        <v>4</v>
      </c>
      <c r="D86" s="16" t="n">
        <v>187</v>
      </c>
      <c r="E86" s="16" t="n">
        <v>31</v>
      </c>
      <c r="F86" s="16" t="n">
        <v>2</v>
      </c>
      <c r="G86" s="16" t="n">
        <v>7</v>
      </c>
      <c r="H86" s="16" t="n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  <row r="50" customFormat="false" ht="15" hidden="false" customHeight="false" outlineLevel="0" collapsed="false">
      <c r="A50" s="15" t="n">
        <v>46290</v>
      </c>
      <c r="B50" s="16" t="n">
        <v>116</v>
      </c>
      <c r="C50" s="16" t="n">
        <v>135</v>
      </c>
      <c r="D50" s="16" t="n">
        <v>4560</v>
      </c>
      <c r="E50" s="16" t="n">
        <v>486</v>
      </c>
      <c r="F50" s="16" t="n">
        <v>49</v>
      </c>
      <c r="G50" s="16" t="n">
        <v>15</v>
      </c>
      <c r="H50" s="16" t="n">
        <v>86</v>
      </c>
      <c r="I50" s="16" t="n">
        <v>2422</v>
      </c>
      <c r="J50" s="16" t="n">
        <v>102</v>
      </c>
      <c r="K50" s="16" t="n">
        <v>1328</v>
      </c>
      <c r="L50" s="16" t="n">
        <v>33</v>
      </c>
      <c r="M50" s="16" t="n">
        <v>59</v>
      </c>
      <c r="N50" s="16" t="n">
        <v>4</v>
      </c>
      <c r="O50" s="16" t="n">
        <v>635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  <row r="50" customFormat="false" ht="15" hidden="false" customHeight="false" outlineLevel="0" collapsed="false">
      <c r="A50" s="15" t="n">
        <v>46290</v>
      </c>
      <c r="B50" s="16" t="n">
        <v>12</v>
      </c>
      <c r="C50" s="16" t="n">
        <v>699</v>
      </c>
      <c r="D50" s="16" t="n">
        <v>663</v>
      </c>
      <c r="E50" s="19" t="n">
        <v>33.9</v>
      </c>
      <c r="F50" s="16" t="n">
        <v>3</v>
      </c>
      <c r="G50" s="16" t="n">
        <v>584</v>
      </c>
      <c r="H50" s="16" t="n">
        <v>399</v>
      </c>
      <c r="I50" s="16" t="n">
        <v>34</v>
      </c>
      <c r="J50" s="19" t="n">
        <v>3.3</v>
      </c>
      <c r="K50" s="16" t="n">
        <v>1034</v>
      </c>
      <c r="L50" s="19" t="n">
        <v>29.1</v>
      </c>
      <c r="M50" s="16" t="n">
        <v>86</v>
      </c>
      <c r="N50" s="16" t="n">
        <v>119</v>
      </c>
      <c r="O50" s="16" t="n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  <row r="47" customFormat="false" ht="15" hidden="false" customHeight="false" outlineLevel="0" collapsed="false">
      <c r="A47" s="15" t="n">
        <v>46290</v>
      </c>
      <c r="B47" s="16" t="n">
        <v>92</v>
      </c>
      <c r="C47" s="16" t="n">
        <v>93</v>
      </c>
      <c r="D47" s="16" t="n">
        <v>93</v>
      </c>
      <c r="E47" s="16" t="n">
        <v>92</v>
      </c>
      <c r="F47" s="16" t="n">
        <v>118</v>
      </c>
      <c r="G47" s="16" t="n">
        <v>98</v>
      </c>
      <c r="H47" s="16" t="n">
        <v>119</v>
      </c>
      <c r="I47" s="16" t="n">
        <v>88</v>
      </c>
      <c r="J47" s="16" t="n">
        <v>336</v>
      </c>
      <c r="K47" s="16" t="n">
        <v>274</v>
      </c>
      <c r="L47" s="16" t="n">
        <v>239208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ngày'!B6:B86,'Social — theo ngày'!$A$6:$A$86,"&gt;="&amp;DATE(2026,7,1),'Social — theo ngày'!$A$6:$A$86,"&lt;="&amp;DATE(2026,7,31))</f>
        <v>125</v>
      </c>
      <c r="C7" s="16" t="n">
        <f aca="false">SUMIFS('Social — theo ngày'!B6:B86,'Social — theo ngày'!$A$6:$A$86,"&gt;="&amp;DATE(2026,8,1),'Social — theo ngày'!$A$6:$A$86,"&lt;="&amp;DATE(2026,8,31))</f>
        <v>195</v>
      </c>
      <c r="D7" s="16" t="n">
        <f aca="false">SUMIFS('Social — theo ngày'!B6:B86,'Social — theo ngày'!$A$6:$A$86,"&gt;="&amp;DATE(2026,9,1),'Social — theo ngày'!$A$6:$A$86,"&lt;="&amp;DATE(2026,9,30))</f>
        <v>118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ngày'!C6:C86,'Social — theo ngày'!$A$6:$A$86,"&gt;="&amp;DATE(2026,7,1),'Social — theo ngày'!$A$6:$A$86,"&lt;="&amp;DATE(2026,7,31))</f>
        <v>106</v>
      </c>
      <c r="C8" s="16" t="n">
        <f aca="false">SUMIFS('Social — theo ngày'!C6:C86,'Social — theo ngày'!$A$6:$A$86,"&gt;="&amp;DATE(2026,8,1),'Social — theo ngày'!$A$6:$A$86,"&lt;="&amp;DATE(2026,8,31))</f>
        <v>147</v>
      </c>
      <c r="D8" s="16" t="n">
        <f aca="false">SUMIFS('Social — theo ngày'!C6:C86,'Social — theo ngày'!$A$6:$A$86,"&gt;="&amp;DATE(2026,9,1),'Social — theo ngày'!$A$6:$A$86,"&lt;="&amp;DATE(2026,9,30))</f>
        <v>345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ngày'!D6:D86,'Social — theo ngày'!$A$6:$A$86,"&gt;="&amp;DATE(2026,7,1),'Social — theo ngày'!$A$6:$A$86,"&lt;="&amp;DATE(2026,7,31))</f>
        <v>3579</v>
      </c>
      <c r="C9" s="16" t="n">
        <f aca="false">SUMIFS('Social — theo ngày'!D6:D86,'Social — theo ngày'!$A$6:$A$86,"&gt;="&amp;DATE(2026,8,1),'Social — theo ngày'!$A$6:$A$86,"&lt;="&amp;DATE(2026,8,31))</f>
        <v>4978</v>
      </c>
      <c r="D9" s="16" t="n">
        <f aca="false">SUMIFS('Social — theo ngày'!D6:D86,'Social — theo ngày'!$A$6:$A$86,"&gt;="&amp;DATE(2026,9,1),'Social — theo ngày'!$A$6:$A$86,"&lt;="&amp;DATE(2026,9,30))</f>
        <v>3969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ngày'!E6:E86,'Social — theo ngày'!$A$6:$A$86,"&gt;="&amp;DATE(2026,7,1),'Social — theo ngày'!$A$6:$A$86,"&lt;="&amp;DATE(2026,7,31))</f>
        <v>189</v>
      </c>
      <c r="C10" s="16" t="n">
        <f aca="false">SUMIFS('Social — theo ngày'!E6:E86,'Social — theo ngày'!$A$6:$A$86,"&gt;="&amp;DATE(2026,8,1),'Social — theo ngày'!$A$6:$A$86,"&lt;="&amp;DATE(2026,8,31))</f>
        <v>314</v>
      </c>
      <c r="D10" s="16" t="n">
        <f aca="false">SUMIFS('Social — theo ngày'!E6:E86,'Social — theo ngày'!$A$6:$A$86,"&gt;="&amp;DATE(2026,9,1),'Social — theo ngày'!$A$6:$A$86,"&lt;="&amp;DATE(2026,9,30))</f>
        <v>380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ngày'!F6:F86,'Social — theo ngày'!$A$6:$A$86,"&gt;="&amp;DATE(2026,7,1),'Social — theo ngày'!$A$6:$A$86,"&lt;="&amp;DATE(2026,7,31))</f>
        <v>51</v>
      </c>
      <c r="C11" s="16" t="n">
        <f aca="false">SUMIFS('Social — theo ngày'!F6:F86,'Social — theo ngày'!$A$6:$A$86,"&gt;="&amp;DATE(2026,8,1),'Social — theo ngày'!$A$6:$A$86,"&lt;="&amp;DATE(2026,8,31))</f>
        <v>69</v>
      </c>
      <c r="D11" s="16" t="n">
        <f aca="false">SUMIFS('Social — theo ngày'!F6:F86,'Social — theo ngày'!$A$6:$A$86,"&gt;="&amp;DATE(2026,9,1),'Social — theo ngày'!$A$6:$A$86,"&lt;="&amp;DATE(2026,9,30))</f>
        <v>13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ngày'!G6:G86,'Social — theo ngày'!$A$6:$A$86,"&gt;="&amp;DATE(2026,7,1),'Social — theo ngày'!$A$6:$A$86,"&lt;="&amp;DATE(2026,7,31))</f>
        <v>275</v>
      </c>
      <c r="C12" s="16" t="n">
        <f aca="false">SUMIFS('Social — theo ngày'!G6:G86,'Social — theo ngày'!$A$6:$A$86,"&gt;="&amp;DATE(2026,8,1),'Social — theo ngày'!$A$6:$A$86,"&lt;="&amp;DATE(2026,8,31))</f>
        <v>387</v>
      </c>
      <c r="D12" s="16" t="n">
        <f aca="false">SUMIFS('Social — theo ngày'!G6:G86,'Social — theo ngày'!$A$6:$A$86,"&gt;="&amp;DATE(2026,9,1),'Social — theo ngày'!$A$6:$A$86,"&lt;="&amp;DATE(2026,9,30))</f>
        <v>147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ngày'!H6:H86,'Social — theo ngày'!$A$6:$A$86,"&gt;="&amp;DATE(2026,7,1),'Social — theo ngày'!$A$6:$A$86,"&lt;="&amp;DATE(2026,7,31))</f>
        <v>869</v>
      </c>
      <c r="C13" s="16" t="n">
        <f aca="false">SUMIFS('Social — theo ngày'!H6:H86,'Social — theo ngày'!$A$6:$A$86,"&gt;="&amp;DATE(2026,8,1),'Social — theo ngày'!$A$6:$A$86,"&lt;="&amp;DATE(2026,8,31))</f>
        <v>1161</v>
      </c>
      <c r="D13" s="16" t="n">
        <f aca="false">SUMIFS('Social — theo ngày'!H6:H86,'Social — theo ngày'!$A$6:$A$86,"&gt;="&amp;DATE(2026,9,1),'Social — theo ngày'!$A$6:$A$86,"&lt;="&amp;DATE(2026,9,30))</f>
        <v>2157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ngày'!B50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ngày'!C50</f>
        <v>135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ngày'!D50</f>
        <v>4560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ngày'!E50</f>
        <v>486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ngày'!F50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ngày'!G50</f>
        <v>15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ngày'!H50</f>
        <v>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ngày'!I50</f>
        <v>2422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ngày'!J50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ngày'!K50</f>
        <v>1328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ngày'!L50</f>
        <v>33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ngày'!M50</f>
        <v>59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ngày'!N50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ngày'!O50</f>
        <v>635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SEO!B50</f>
        <v>12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SEO!C50</f>
        <v>699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SEO!D50</f>
        <v>663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SEO!E50</f>
        <v>33.9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SEO!F50</f>
        <v>3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SEO!G50</f>
        <v>584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SEO!H50</f>
        <v>399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SEO!I50</f>
        <v>34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SEO!J50</f>
        <v>3.3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SEO!K50</f>
        <v>1034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SEO!L50</f>
        <v>29.1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SEO!M50</f>
        <v>86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SEO!N50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SEO!O50</f>
        <v>336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Audit!B47</f>
        <v>92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Audit!C47</f>
        <v>93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Audit!D47</f>
        <v>93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Audit!E47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Audit!F47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Audit!G47</f>
        <v>98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Audit!H47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Audit!I47</f>
        <v>88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Audit!J47</f>
        <v>336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Audit!K47</f>
        <v>274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Audit!L47</f>
        <v>239208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2026-09-25T00:12:17Z</dcterms:created>
  <dc:creator>openpyxl</dc:creator>
  <dc:description/>
  <dc:language>en-US</dc:language>
  <cp:lastModifiedBy/>
  <dcterms:modified xsi:type="dcterms:W3CDTF">2026-09-25T00:12:17Z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