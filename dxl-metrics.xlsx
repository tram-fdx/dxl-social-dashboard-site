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Đọc trước" sheetId="1" state="visible" r:id="rId3"/>
    <sheet name="Social — theo ngày" sheetId="2" state="visible" r:id="rId4"/>
    <sheet name="Social — 28 ngày" sheetId="3" state="visible" r:id="rId5"/>
    <sheet name="SEO" sheetId="4" state="visible" r:id="rId6"/>
    <sheet name="Audit" sheetId="5" state="visible" r:id="rId7"/>
    <sheet name="Tổng hợp thá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<sst xmlns="http://schemas.openxmlformats.org/spreadsheetml/2006/main" count="216" uniqueCount="97">
  <si>
    <t xml:space="preserve">DX Living — dữ liệu báo cáo theo ngày</t>
  </si>
  <si>
    <t xml:space="preserve">Xuất ngày 2026-10-13 · nguồn: data/rollup.json của ba repo báo cáo</t>
  </si>
  <si>
    <t xml:space="preserve">File này là gì</t>
  </si>
  <si>
    <t xml:space="preserve">Bản xuất phẳng của dữ liệu đã lưu trong ba báo cáo DX Living, để đọc bằng tay và dựng báo cáo tháng. KHÔNG phải nguồn sự thật.</t>
  </si>
  <si>
    <t xml:space="preserve">Nguồn sự thật</t>
  </si>
  <si>
    <t xml:space="preserve">data/YYYY-MM-DD.json trong mỗi repo — bất biến, mỗi ngày một file, không bao giờ sửa. File Excel này và dashboard cùng đọc từ data/rollup.json, nên không bao giờ lệch nhau.</t>
  </si>
  <si>
    <t xml:space="preserve">Sửa file này thì sao</t>
  </si>
  <si>
    <t xml:space="preserve">Không ảnh hưởng gì tới báo cáo. Lần xuất sau sẽ ghi đè.</t>
  </si>
  <si>
    <t xml:space="preserve">BA LOẠI CHỈ SỐ — đọc kỹ trước khi cộng</t>
  </si>
  <si>
    <t xml:space="preserve">day</t>
  </si>
  <si>
    <t xml:space="preserve">Số đo của đúng ngày đó. CỘNG DỒN ĐƯỢC. Hiện chỉ Social có (Facebook và Instagram), dựng lại từ chuỗi 28 giá trị lưu sẵn trong mỗi file ngày.</t>
  </si>
  <si>
    <t xml:space="preserve">window28</t>
  </si>
  <si>
    <t xml:space="preserve">Đã là tổng của 28 ngày trước đó. KHÔNG ĐƯỢC CỘNG — hai ngày liền nhau chồng nhau 27 ngày, cộng lại là đếm trùng nhiều lần. Chỉ so đầu kỳ với cuối kỳ.</t>
  </si>
  <si>
    <t xml:space="preserve">state</t>
  </si>
  <si>
    <t xml:space="preserve">Giá trị tại thời điểm quét (điểm số, tốc độ, số follower). Không cộng — lấy giá trị cuối kỳ hoặc trung bình.</t>
  </si>
  <si>
    <t xml:space="preserve">Ô trống</t>
  </si>
  <si>
    <t xml:space="preserve">Ngày đó không đo chỉ số này. Không suy ra, không điền 0.</t>
  </si>
  <si>
    <t xml:space="preserve">Ngày không quét</t>
  </si>
  <si>
    <t xml:space="preserve">Không bao giờ được nội suy. Ví dụ không có bản quét 20/09/2026.</t>
  </si>
  <si>
    <t xml:space="preserve">Meta điều chỉnh số</t>
  </si>
  <si>
    <t xml:space="preserve">Với chuỗi day của Social, mỗi ngày giữ lần đọc MỚI NHẤT — Meta có sửa số về sau.</t>
  </si>
  <si>
    <t xml:space="preserve">CÁC SHEET</t>
  </si>
  <si>
    <t xml:space="preserve">Social — theo ngày</t>
  </si>
  <si>
    <t xml:space="preserve">100 dòng × 7 chỉ số · 2026-07-05 → 2026-10-12</t>
  </si>
  <si>
    <t xml:space="preserve">Social — 28 ngày</t>
  </si>
  <si>
    <t xml:space="preserve">60 dòng × 14 chỉ số · 2026-07-23 → 2026-10-14</t>
  </si>
  <si>
    <t xml:space="preserve">SEO</t>
  </si>
  <si>
    <t xml:space="preserve">60 dòng × 14 chỉ số · 2026-06-30 → 2026-10-14</t>
  </si>
  <si>
    <t xml:space="preserve">Audit</t>
  </si>
  <si>
    <t xml:space="preserve">57 dòng × 11 chỉ số · 2026-07-27 → 2026-10-14</t>
  </si>
  <si>
    <t xml:space="preserve">Số theo NGÀY THẬT — cộng dồn được. Dựng lại từ chuỗi 28 giá trị trong mỗi file ngày, giữ lần đọc mới nhất cho mỗi ngày.</t>
  </si>
  <si>
    <t xml:space="preserve">Nguồn: Social/data/rollup.json · 100 ngày · 7 chỉ số</t>
  </si>
  <si>
    <t xml:space="preserve">grain →</t>
  </si>
  <si>
    <t xml:space="preserve">Ngày</t>
  </si>
  <si>
    <t xml:space="preserve">FB — tương tác/ngày</t>
  </si>
  <si>
    <t xml:space="preserve">FB — view 3 giây/ngày</t>
  </si>
  <si>
    <t xml:space="preserve">FB — views/ngày</t>
  </si>
  <si>
    <t xml:space="preserve">FB — lượt ghé/ngày</t>
  </si>
  <si>
    <t xml:space="preserve">IG — tương tác/ngày</t>
  </si>
  <si>
    <t xml:space="preserve">IG — reach/ngày</t>
  </si>
  <si>
    <t xml:space="preserve">IG — views/ngày</t>
  </si>
  <si>
    <t xml:space="preserve">Ảnh chụp cửa sổ 28 ngày và chỉ số trạng thái — KHÔNG cộng dồn. Chỉ so đầu kỳ với cuối kỳ.</t>
  </si>
  <si>
    <t xml:space="preserve">Nguồn: Social/data/rollup.json · 60 ngày · 14 chỉ số</t>
  </si>
  <si>
    <t xml:space="preserve">FB — followers</t>
  </si>
  <si>
    <t xml:space="preserve">FB — tương tác (28n)</t>
  </si>
  <si>
    <t xml:space="preserve">FB — views (28n)</t>
  </si>
  <si>
    <t xml:space="preserve">FB — lượt ghé (28n)</t>
  </si>
  <si>
    <t xml:space="preserve">IG — followers</t>
  </si>
  <si>
    <t xml:space="preserve">IG — tương tác (28n)</t>
  </si>
  <si>
    <t xml:space="preserve">IG — reach (28n)</t>
  </si>
  <si>
    <t xml:space="preserve">IG — views (28n)</t>
  </si>
  <si>
    <t xml:space="preserve">LinkedIn — followers</t>
  </si>
  <si>
    <t xml:space="preserve">LinkedIn — impressions (28n)</t>
  </si>
  <si>
    <t xml:space="preserve">LinkedIn — lượt xem trang (28n)</t>
  </si>
  <si>
    <t xml:space="preserve">LinkedIn — reactions (28n)</t>
  </si>
  <si>
    <t xml:space="preserve">YouTube — subscribers</t>
  </si>
  <si>
    <t xml:space="preserve">YouTube — views (28n)</t>
  </si>
  <si>
    <t xml:space="preserve">GSC/GA4 là cửa sổ 28 ngày trượt; Ahrefs, TTFB, sitemap là trạng thái. KHÔNG cộng dồn.</t>
  </si>
  <si>
    <t xml:space="preserve">Nguồn: SEO/data/rollup.json · 60 ngày · 14 chỉ số</t>
  </si>
  <si>
    <t xml:space="preserve">Ahrefs — trích dẫn AI</t>
  </si>
  <si>
    <t xml:space="preserve">Ahrefs — backlinks</t>
  </si>
  <si>
    <t xml:space="preserve">Ahrefs — referring domains</t>
  </si>
  <si>
    <t xml:space="preserve">GA4 — engagement %</t>
  </si>
  <si>
    <t xml:space="preserve">GA4 — key events</t>
  </si>
  <si>
    <t xml:space="preserve">GA4 — sessions</t>
  </si>
  <si>
    <t xml:space="preserve">GA4 — users</t>
  </si>
  <si>
    <t xml:space="preserve">GSC — clicks</t>
  </si>
  <si>
    <t xml:space="preserve">GSC — CTR %</t>
  </si>
  <si>
    <t xml:space="preserve">GSC — impressions</t>
  </si>
  <si>
    <t xml:space="preserve">GSC — vị trí TB</t>
  </si>
  <si>
    <t xml:space="preserve">GSC — số truy vấn</t>
  </si>
  <si>
    <t xml:space="preserve">Sitemap — số URL</t>
  </si>
  <si>
    <t xml:space="preserve">TTFB trung bình (ms)</t>
  </si>
  <si>
    <t xml:space="preserve">Mỗi dòng là một lần crawl tại thời điểm. Điểm số và tốc độ — KHÔNG cộng dồn.</t>
  </si>
  <si>
    <t xml:space="preserve">Nguồn: Audit/data/rollup.json · 57 ngày · 11 chỉ số</t>
  </si>
  <si>
    <t xml:space="preserve">Content</t>
  </si>
  <si>
    <t xml:space="preserve">Crawlability</t>
  </si>
  <si>
    <t xml:space="preserve">Health score</t>
  </si>
  <si>
    <t xml:space="preserve">On-page / Meta</t>
  </si>
  <si>
    <t xml:space="preserve">Số trang crawl</t>
  </si>
  <si>
    <t xml:space="preserve">Performance / TTFB</t>
  </si>
  <si>
    <t xml:space="preserve">Structured data</t>
  </si>
  <si>
    <t xml:space="preserve">TTFB trung vị (ms)</t>
  </si>
  <si>
    <t xml:space="preserve">Tổng số từ</t>
  </si>
  <si>
    <t xml:space="preserve">Tổng hợp theo tháng</t>
  </si>
  <si>
    <t xml:space="preserve">Mọi ô dưới đây là CÔNG THỨC trỏ về các sheet dữ liệu — sửa dữ liệu thì số này tự đổi.</t>
  </si>
  <si>
    <t xml:space="preserve">Chỉ chuỗi grain "day" mới được CỘNG (SUMIFS). window28 và state lấy GIÁ TRỊ NGÀY QUÉT CUỐI CÙNG của tháng (INDEX).</t>
  </si>
  <si>
    <t xml:space="preserve">CỘNG ĐƯỢC — số theo ngày thật (Social)</t>
  </si>
  <si>
    <t xml:space="preserve">Chỉ số</t>
  </si>
  <si>
    <t xml:space="preserve">2026-07</t>
  </si>
  <si>
    <t xml:space="preserve">2026-08</t>
  </si>
  <si>
    <t xml:space="preserve">2026-09</t>
  </si>
  <si>
    <t xml:space="preserve">2026-10</t>
  </si>
  <si>
    <t xml:space="preserve">KHÔNG CỘNG — Social — 28 ngày (lấy ngày quét cuối tháng)</t>
  </si>
  <si>
    <t xml:space="preserve">KHÔNG CỘNG — SEO (lấy ngày quét cuối tháng)</t>
  </si>
  <si>
    <t xml:space="preserve">2026-06</t>
  </si>
  <si>
    <t xml:space="preserve">KHÔNG CỘNG — Audit (lấy ngày quét cuối tháng)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</si>
</sst>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0.00"/>
    <numFmt numFmtId="168" formatCode="#,##0.##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2161C"/>
      <name val="Arial"/>
      <family val="0"/>
      <charset val="1"/>
    </font>
    <font>
      <i val="true"/>
      <sz val="9"/>
      <color rgb="FF6B727C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8"/>
      <color rgb="FF4A526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6F5ED"/>
        <bgColor rgb="FFEEF1F5"/>
      </patternFill>
    </fill>
    <fill>
      <patternFill patternType="solid">
        <fgColor rgb="FFFDF1E3"/>
        <bgColor rgb="FFEEF1F5"/>
      </patternFill>
    </fill>
    <fill>
      <patternFill patternType="solid">
        <fgColor rgb="FFEEF1F5"/>
        <bgColor rgb="FFE6F5ED"/>
      </patternFill>
    </fill>
    <fill>
      <patternFill patternType="solid">
        <fgColor rgb="FF2C34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E9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1E3"/>
      <rgbColor rgb="FFE6F5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5"/>
      <rgbColor rgb="FFE6E9E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7C"/>
      <rgbColor rgb="FF969696"/>
      <rgbColor rgb="FF003366"/>
      <rgbColor rgb="FF339966"/>
      <rgbColor rgb="FF12161C"/>
      <rgbColor rgb="FF333300"/>
      <rgbColor rgb="FF993300"/>
      <rgbColor rgb="FF993366"/>
      <rgbColor rgb="FF4A5260"/>
      <rgbColor rgb="FF2C34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3.85" hidden="false" customHeight="false" outlineLevel="0" collapsed="false">
      <c r="B5" s="3" t="s">
        <v>2</v>
      </c>
      <c r="C5" s="4" t="s">
        <v>3</v>
      </c>
    </row>
    <row r="6" customFormat="false" ht="23.85" hidden="false" customHeight="false" outlineLevel="0" collapsed="false">
      <c r="B6" s="3" t="s">
        <v>4</v>
      </c>
      <c r="C6" s="4" t="s">
        <v>5</v>
      </c>
    </row>
    <row r="7" customFormat="false" ht="15" hidden="false" customHeight="false" outlineLevel="0" collapsed="false">
      <c r="B7" s="3" t="s">
        <v>6</v>
      </c>
      <c r="C7" s="4" t="s">
        <v>7</v>
      </c>
    </row>
    <row r="9" customFormat="false" ht="15" hidden="false" customHeight="false" outlineLevel="0" collapsed="false">
      <c r="B9" s="5" t="s">
        <v>8</v>
      </c>
    </row>
    <row r="10" customFormat="false" ht="23.85" hidden="false" customHeight="false" outlineLevel="0" collapsed="false">
      <c r="B10" s="6" t="s">
        <v>9</v>
      </c>
      <c r="C10" s="7" t="s">
        <v>10</v>
      </c>
    </row>
    <row r="11" customFormat="false" ht="23.85" hidden="false" customHeight="false" outlineLevel="0" collapsed="false">
      <c r="B11" s="8" t="s">
        <v>11</v>
      </c>
      <c r="C11" s="9" t="s">
        <v>12</v>
      </c>
    </row>
    <row r="12" customFormat="false" ht="15" hidden="false" customHeight="false" outlineLevel="0" collapsed="false">
      <c r="B12" s="10" t="s">
        <v>13</v>
      </c>
      <c r="C12" s="11" t="s">
        <v>14</v>
      </c>
    </row>
    <row r="14" customFormat="false" ht="15" hidden="false" customHeight="false" outlineLevel="0" collapsed="false">
      <c r="B14" s="3" t="s">
        <v>15</v>
      </c>
      <c r="C14" s="4" t="s">
        <v>16</v>
      </c>
    </row>
    <row r="15" customFormat="false" ht="15" hidden="false" customHeight="false" outlineLevel="0" collapsed="false">
      <c r="B15" s="3" t="s">
        <v>17</v>
      </c>
      <c r="C15" s="4" t="s">
        <v>18</v>
      </c>
    </row>
    <row r="16" customFormat="false" ht="15" hidden="false" customHeight="false" outlineLevel="0" collapsed="false">
      <c r="B16" s="3" t="s">
        <v>19</v>
      </c>
      <c r="C16" s="4" t="s">
        <v>20</v>
      </c>
    </row>
    <row r="19" customFormat="false" ht="15" hidden="false" customHeight="false" outlineLevel="0" collapsed="false">
      <c r="B19" s="5" t="s">
        <v>21</v>
      </c>
    </row>
    <row r="20" customFormat="false" ht="15" hidden="false" customHeight="false" outlineLevel="0" collapsed="false">
      <c r="B20" s="3" t="s">
        <v>22</v>
      </c>
      <c r="C20" s="4" t="s">
        <v>23</v>
      </c>
    </row>
    <row r="21" customFormat="false" ht="15" hidden="false" customHeight="false" outlineLevel="0" collapsed="false">
      <c r="B21" s="3" t="s">
        <v>24</v>
      </c>
      <c r="C21" s="4" t="s">
        <v>25</v>
      </c>
    </row>
    <row r="22" customFormat="false" ht="15" hidden="false" customHeight="false" outlineLevel="0" collapsed="false">
      <c r="B22" s="3" t="s">
        <v>26</v>
      </c>
      <c r="C22" s="4" t="s">
        <v>27</v>
      </c>
    </row>
    <row r="23" customFormat="false" ht="15" hidden="false" customHeight="false" outlineLevel="0" collapsed="false">
      <c r="B23" s="3" t="s">
        <v>28</v>
      </c>
      <c r="C23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30</v>
      </c>
    </row>
    <row r="3" customFormat="false" ht="15" hidden="false" customHeight="false" outlineLevel="0" collapsed="false">
      <c r="A3" s="2" t="s">
        <v>31</v>
      </c>
    </row>
    <row r="4" customFormat="false" ht="15" hidden="false" customHeight="false" outlineLevel="0" collapsed="false">
      <c r="A4" s="2" t="s">
        <v>32</v>
      </c>
      <c r="B4" s="12" t="s">
        <v>9</v>
      </c>
      <c r="C4" s="12" t="s">
        <v>9</v>
      </c>
      <c r="D4" s="12" t="s">
        <v>9</v>
      </c>
      <c r="E4" s="12" t="s">
        <v>9</v>
      </c>
      <c r="F4" s="12" t="s">
        <v>9</v>
      </c>
      <c r="G4" s="12" t="s">
        <v>9</v>
      </c>
      <c r="H4" s="12" t="s">
        <v>9</v>
      </c>
    </row>
    <row r="5" customFormat="false" ht="23.85" hidden="false" customHeight="false" outlineLevel="0" collapsed="false">
      <c r="A5" s="13" t="s">
        <v>33</v>
      </c>
      <c r="B5" s="14" t="s">
        <v>34</v>
      </c>
      <c r="C5" s="14" t="s">
        <v>35</v>
      </c>
      <c r="D5" s="14" t="s">
        <v>36</v>
      </c>
      <c r="E5" s="14" t="s">
        <v>37</v>
      </c>
      <c r="F5" s="14" t="s">
        <v>38</v>
      </c>
      <c r="G5" s="14" t="s">
        <v>39</v>
      </c>
      <c r="H5" s="14" t="s">
        <v>40</v>
      </c>
    </row>
    <row r="6" customFormat="false" ht="15" hidden="false" customHeight="false" outlineLevel="0" collapsed="false">
      <c r="A6" s="15" t="n">
        <v>46208</v>
      </c>
      <c r="B6" s="16" t="n">
        <v>2</v>
      </c>
      <c r="C6" s="16" t="n">
        <v>0</v>
      </c>
      <c r="D6" s="16" t="n">
        <v>40</v>
      </c>
      <c r="E6" s="16" t="n">
        <v>1</v>
      </c>
      <c r="F6" s="16" t="n">
        <v>0</v>
      </c>
      <c r="G6" s="16" t="n">
        <v>0</v>
      </c>
      <c r="H6" s="16" t="n">
        <v>0</v>
      </c>
    </row>
    <row r="7" customFormat="false" ht="15" hidden="false" customHeight="false" outlineLevel="0" collapsed="false">
      <c r="A7" s="15" t="n">
        <v>46209</v>
      </c>
      <c r="B7" s="16" t="n">
        <v>2</v>
      </c>
      <c r="C7" s="16" t="n">
        <v>1</v>
      </c>
      <c r="D7" s="16" t="n">
        <v>61</v>
      </c>
      <c r="E7" s="16" t="n">
        <v>0</v>
      </c>
      <c r="F7" s="16" t="n">
        <v>0</v>
      </c>
      <c r="G7" s="16" t="n">
        <v>0</v>
      </c>
      <c r="H7" s="16" t="n">
        <v>3</v>
      </c>
    </row>
    <row r="8" customFormat="false" ht="15" hidden="false" customHeight="false" outlineLevel="0" collapsed="false">
      <c r="A8" s="15" t="n">
        <v>46210</v>
      </c>
      <c r="B8" s="16" t="n">
        <v>0</v>
      </c>
      <c r="C8" s="16" t="n">
        <v>0</v>
      </c>
      <c r="D8" s="16" t="n">
        <v>11</v>
      </c>
      <c r="E8" s="16" t="n">
        <v>1</v>
      </c>
      <c r="F8" s="16" t="n">
        <v>0</v>
      </c>
      <c r="G8" s="16" t="n">
        <v>0</v>
      </c>
      <c r="H8" s="16" t="n">
        <v>0</v>
      </c>
    </row>
    <row r="9" customFormat="false" ht="15" hidden="false" customHeight="false" outlineLevel="0" collapsed="false">
      <c r="A9" s="15" t="n">
        <v>46211</v>
      </c>
      <c r="B9" s="16" t="n">
        <v>7</v>
      </c>
      <c r="C9" s="16" t="n">
        <v>1</v>
      </c>
      <c r="D9" s="16" t="n">
        <v>150</v>
      </c>
      <c r="E9" s="16" t="n">
        <v>1</v>
      </c>
      <c r="F9" s="16" t="n">
        <v>0</v>
      </c>
      <c r="G9" s="16" t="n">
        <v>2</v>
      </c>
      <c r="H9" s="16" t="n">
        <v>68</v>
      </c>
    </row>
    <row r="10" customFormat="false" ht="15" hidden="false" customHeight="false" outlineLevel="0" collapsed="false">
      <c r="A10" s="15" t="n">
        <v>46212</v>
      </c>
      <c r="B10" s="16" t="n">
        <v>5</v>
      </c>
      <c r="C10" s="16" t="n">
        <v>1</v>
      </c>
      <c r="D10" s="16" t="n">
        <v>79</v>
      </c>
      <c r="E10" s="16" t="n">
        <v>0</v>
      </c>
      <c r="F10" s="16" t="n">
        <v>0</v>
      </c>
      <c r="G10" s="16" t="n">
        <v>1</v>
      </c>
      <c r="H10" s="16" t="n">
        <v>12</v>
      </c>
    </row>
    <row r="11" customFormat="false" ht="15" hidden="false" customHeight="false" outlineLevel="0" collapsed="false">
      <c r="A11" s="15" t="n">
        <v>46213</v>
      </c>
      <c r="B11" s="16" t="n">
        <v>2</v>
      </c>
      <c r="C11" s="16" t="n">
        <v>1</v>
      </c>
      <c r="D11" s="16" t="n">
        <v>50</v>
      </c>
      <c r="E11" s="16" t="n">
        <v>0</v>
      </c>
      <c r="F11" s="16" t="n">
        <v>0</v>
      </c>
      <c r="G11" s="16" t="n">
        <v>2</v>
      </c>
      <c r="H11" s="16" t="n">
        <v>7</v>
      </c>
    </row>
    <row r="12" customFormat="false" ht="15" hidden="false" customHeight="false" outlineLevel="0" collapsed="false">
      <c r="A12" s="15" t="n">
        <v>46214</v>
      </c>
      <c r="B12" s="16" t="n">
        <v>0</v>
      </c>
      <c r="C12" s="16" t="n">
        <v>1</v>
      </c>
      <c r="D12" s="16" t="n">
        <v>41</v>
      </c>
      <c r="E12" s="16" t="n">
        <v>3</v>
      </c>
      <c r="F12" s="16" t="n">
        <v>0</v>
      </c>
      <c r="G12" s="16" t="n">
        <v>1</v>
      </c>
      <c r="H12" s="16" t="n">
        <v>4</v>
      </c>
    </row>
    <row r="13" customFormat="false" ht="15" hidden="false" customHeight="false" outlineLevel="0" collapsed="false">
      <c r="A13" s="15" t="n">
        <v>46215</v>
      </c>
      <c r="B13" s="16" t="n">
        <v>0</v>
      </c>
      <c r="C13" s="16" t="n">
        <v>1</v>
      </c>
      <c r="D13" s="16" t="n">
        <v>13</v>
      </c>
      <c r="E13" s="16" t="n">
        <v>1</v>
      </c>
      <c r="F13" s="16" t="n">
        <v>0</v>
      </c>
      <c r="G13" s="16" t="n">
        <v>1</v>
      </c>
      <c r="H13" s="16" t="n">
        <v>3</v>
      </c>
    </row>
    <row r="14" customFormat="false" ht="15" hidden="false" customHeight="false" outlineLevel="0" collapsed="false">
      <c r="A14" s="15" t="n">
        <v>46216</v>
      </c>
      <c r="B14" s="16" t="n">
        <v>6</v>
      </c>
      <c r="C14" s="16" t="n">
        <v>7</v>
      </c>
      <c r="D14" s="16" t="n">
        <v>200</v>
      </c>
      <c r="E14" s="16" t="n">
        <v>7</v>
      </c>
      <c r="F14" s="16" t="n">
        <v>0</v>
      </c>
      <c r="G14" s="16" t="n">
        <v>0</v>
      </c>
      <c r="H14" s="16" t="n">
        <v>11</v>
      </c>
    </row>
    <row r="15" customFormat="false" ht="15" hidden="false" customHeight="false" outlineLevel="0" collapsed="false">
      <c r="A15" s="15" t="n">
        <v>46217</v>
      </c>
      <c r="B15" s="16" t="n">
        <v>1</v>
      </c>
      <c r="C15" s="16" t="n">
        <v>0</v>
      </c>
      <c r="D15" s="16" t="n">
        <v>100</v>
      </c>
      <c r="E15" s="16" t="n">
        <v>7</v>
      </c>
      <c r="F15" s="16" t="n">
        <v>0</v>
      </c>
      <c r="G15" s="16" t="n">
        <v>2</v>
      </c>
      <c r="H15" s="16" t="n">
        <v>8</v>
      </c>
    </row>
    <row r="16" customFormat="false" ht="15" hidden="false" customHeight="false" outlineLevel="0" collapsed="false">
      <c r="A16" s="15" t="n">
        <v>46218</v>
      </c>
      <c r="B16" s="16" t="n">
        <v>21</v>
      </c>
      <c r="C16" s="16" t="n">
        <v>0</v>
      </c>
      <c r="D16" s="16" t="n">
        <v>370</v>
      </c>
      <c r="E16" s="16" t="n">
        <v>17</v>
      </c>
      <c r="F16" s="16" t="n">
        <v>10</v>
      </c>
      <c r="G16" s="16" t="n">
        <v>9</v>
      </c>
      <c r="H16" s="16" t="n">
        <v>53</v>
      </c>
    </row>
    <row r="17" customFormat="false" ht="15" hidden="false" customHeight="false" outlineLevel="0" collapsed="false">
      <c r="A17" s="15" t="n">
        <v>46219</v>
      </c>
      <c r="B17" s="16" t="n">
        <v>6</v>
      </c>
      <c r="C17" s="16" t="n">
        <v>0</v>
      </c>
      <c r="D17" s="16" t="n">
        <v>177</v>
      </c>
      <c r="E17" s="16" t="n">
        <v>3</v>
      </c>
      <c r="F17" s="16" t="n">
        <v>6</v>
      </c>
      <c r="G17" s="16" t="n">
        <v>26</v>
      </c>
      <c r="H17" s="16" t="n">
        <v>61</v>
      </c>
    </row>
    <row r="18" customFormat="false" ht="15" hidden="false" customHeight="false" outlineLevel="0" collapsed="false">
      <c r="A18" s="15" t="n">
        <v>46220</v>
      </c>
      <c r="B18" s="16" t="n">
        <v>11</v>
      </c>
      <c r="C18" s="16" t="n">
        <v>0</v>
      </c>
      <c r="D18" s="16" t="n">
        <v>224</v>
      </c>
      <c r="E18" s="16" t="n">
        <v>9</v>
      </c>
      <c r="F18" s="16" t="n">
        <v>2</v>
      </c>
      <c r="G18" s="16" t="n">
        <v>9</v>
      </c>
      <c r="H18" s="16" t="n">
        <v>26</v>
      </c>
    </row>
    <row r="19" customFormat="false" ht="15" hidden="false" customHeight="false" outlineLevel="0" collapsed="false">
      <c r="A19" s="15" t="n">
        <v>46221</v>
      </c>
      <c r="B19" s="16" t="n">
        <v>2</v>
      </c>
      <c r="C19" s="16" t="n">
        <v>1</v>
      </c>
      <c r="D19" s="16" t="n">
        <v>87</v>
      </c>
      <c r="E19" s="16" t="n">
        <v>0</v>
      </c>
      <c r="F19" s="16" t="n">
        <v>0</v>
      </c>
      <c r="G19" s="16" t="n">
        <v>2</v>
      </c>
      <c r="H19" s="16" t="n">
        <v>10</v>
      </c>
    </row>
    <row r="20" customFormat="false" ht="15" hidden="false" customHeight="false" outlineLevel="0" collapsed="false">
      <c r="A20" s="15" t="n">
        <v>46222</v>
      </c>
      <c r="B20" s="16" t="n">
        <v>5</v>
      </c>
      <c r="C20" s="16" t="n">
        <v>4</v>
      </c>
      <c r="D20" s="16" t="n">
        <v>204</v>
      </c>
      <c r="E20" s="16" t="n">
        <v>23</v>
      </c>
      <c r="F20" s="16" t="n">
        <v>3</v>
      </c>
      <c r="G20" s="16" t="n">
        <v>6</v>
      </c>
      <c r="H20" s="16" t="n">
        <v>18</v>
      </c>
    </row>
    <row r="21" customFormat="false" ht="15" hidden="false" customHeight="false" outlineLevel="0" collapsed="false">
      <c r="A21" s="15" t="n">
        <v>46223</v>
      </c>
      <c r="B21" s="16" t="n">
        <v>4</v>
      </c>
      <c r="C21" s="16" t="n">
        <v>3</v>
      </c>
      <c r="D21" s="16" t="n">
        <v>101</v>
      </c>
      <c r="E21" s="16" t="n">
        <v>10</v>
      </c>
      <c r="F21" s="16" t="n">
        <v>2</v>
      </c>
      <c r="G21" s="16" t="n">
        <v>4</v>
      </c>
      <c r="H21" s="16" t="n">
        <v>9</v>
      </c>
    </row>
    <row r="22" customFormat="false" ht="15" hidden="false" customHeight="false" outlineLevel="0" collapsed="false">
      <c r="A22" s="15" t="n">
        <v>46224</v>
      </c>
      <c r="B22" s="16" t="n">
        <v>8</v>
      </c>
      <c r="C22" s="16" t="n">
        <v>34</v>
      </c>
      <c r="D22" s="16" t="n">
        <v>165</v>
      </c>
      <c r="E22" s="16" t="n">
        <v>15</v>
      </c>
      <c r="F22" s="16" t="n">
        <v>3</v>
      </c>
      <c r="G22" s="16" t="n">
        <v>73</v>
      </c>
      <c r="H22" s="16" t="n">
        <v>172</v>
      </c>
    </row>
    <row r="23" customFormat="false" ht="15" hidden="false" customHeight="false" outlineLevel="0" collapsed="false">
      <c r="A23" s="15" t="n">
        <v>46225</v>
      </c>
      <c r="B23" s="16" t="n">
        <v>1</v>
      </c>
      <c r="C23" s="16" t="n">
        <v>12</v>
      </c>
      <c r="D23" s="16" t="n">
        <v>189</v>
      </c>
      <c r="E23" s="16" t="n">
        <v>10</v>
      </c>
      <c r="F23" s="16" t="n">
        <v>3</v>
      </c>
      <c r="G23" s="16" t="n">
        <v>22</v>
      </c>
      <c r="H23" s="16" t="n">
        <v>49</v>
      </c>
    </row>
    <row r="24" customFormat="false" ht="15" hidden="false" customHeight="false" outlineLevel="0" collapsed="false">
      <c r="A24" s="15" t="n">
        <v>46226</v>
      </c>
      <c r="B24" s="16" t="n">
        <v>9</v>
      </c>
      <c r="C24" s="16" t="n">
        <v>3</v>
      </c>
      <c r="D24" s="16" t="n">
        <v>202</v>
      </c>
      <c r="E24" s="16" t="n">
        <v>3</v>
      </c>
      <c r="F24" s="16" t="n">
        <v>10</v>
      </c>
      <c r="G24" s="16" t="n">
        <v>24</v>
      </c>
      <c r="H24" s="16" t="n">
        <v>91</v>
      </c>
    </row>
    <row r="25" customFormat="false" ht="15" hidden="false" customHeight="false" outlineLevel="0" collapsed="false">
      <c r="A25" s="15" t="n">
        <v>46227</v>
      </c>
      <c r="B25" s="16" t="n">
        <v>2</v>
      </c>
      <c r="C25" s="16" t="n">
        <v>5</v>
      </c>
      <c r="D25" s="16" t="n">
        <v>55</v>
      </c>
      <c r="E25" s="16" t="n">
        <v>0</v>
      </c>
      <c r="F25" s="16" t="n">
        <v>0</v>
      </c>
      <c r="G25" s="16" t="n">
        <v>38</v>
      </c>
      <c r="H25" s="16" t="n">
        <v>55</v>
      </c>
    </row>
    <row r="26" customFormat="false" ht="15" hidden="false" customHeight="false" outlineLevel="0" collapsed="false">
      <c r="A26" s="15" t="n">
        <v>46228</v>
      </c>
      <c r="B26" s="16" t="n">
        <v>1</v>
      </c>
      <c r="C26" s="16" t="n">
        <v>0</v>
      </c>
      <c r="D26" s="16" t="n">
        <v>63</v>
      </c>
      <c r="E26" s="16" t="n">
        <v>2</v>
      </c>
      <c r="F26" s="16" t="n">
        <v>0</v>
      </c>
      <c r="G26" s="16" t="n">
        <v>1</v>
      </c>
      <c r="H26" s="16" t="n">
        <v>5</v>
      </c>
    </row>
    <row r="27" customFormat="false" ht="15" hidden="false" customHeight="false" outlineLevel="0" collapsed="false">
      <c r="A27" s="15" t="n">
        <v>46229</v>
      </c>
      <c r="B27" s="16" t="n">
        <v>2</v>
      </c>
      <c r="C27" s="16" t="n">
        <v>0</v>
      </c>
      <c r="D27" s="16" t="n">
        <v>73</v>
      </c>
      <c r="E27" s="16" t="n">
        <v>0</v>
      </c>
      <c r="F27" s="16" t="n">
        <v>2</v>
      </c>
      <c r="G27" s="16" t="n">
        <v>3</v>
      </c>
      <c r="H27" s="16" t="n">
        <v>20</v>
      </c>
    </row>
    <row r="28" customFormat="false" ht="15" hidden="false" customHeight="false" outlineLevel="0" collapsed="false">
      <c r="A28" s="15" t="n">
        <v>46230</v>
      </c>
      <c r="B28" s="16" t="n">
        <v>0</v>
      </c>
      <c r="C28" s="16" t="n">
        <v>14</v>
      </c>
      <c r="D28" s="16" t="n">
        <v>74</v>
      </c>
      <c r="E28" s="16" t="n">
        <v>0</v>
      </c>
      <c r="F28" s="16" t="n">
        <v>0</v>
      </c>
      <c r="G28" s="16" t="n">
        <v>3</v>
      </c>
      <c r="H28" s="16" t="n">
        <v>14</v>
      </c>
    </row>
    <row r="29" customFormat="false" ht="15" hidden="false" customHeight="false" outlineLevel="0" collapsed="false">
      <c r="A29" s="15" t="n">
        <v>46231</v>
      </c>
      <c r="B29" s="16" t="n">
        <v>15</v>
      </c>
      <c r="C29" s="16" t="n">
        <v>3</v>
      </c>
      <c r="D29" s="16" t="n">
        <v>329</v>
      </c>
      <c r="E29" s="16" t="n">
        <v>33</v>
      </c>
      <c r="F29" s="16" t="n">
        <v>7</v>
      </c>
      <c r="G29" s="16" t="n">
        <v>27</v>
      </c>
      <c r="H29" s="16" t="n">
        <v>98</v>
      </c>
    </row>
    <row r="30" customFormat="false" ht="15" hidden="false" customHeight="false" outlineLevel="0" collapsed="false">
      <c r="A30" s="15" t="n">
        <v>46232</v>
      </c>
      <c r="B30" s="16" t="n">
        <v>5</v>
      </c>
      <c r="C30" s="16" t="n">
        <v>11</v>
      </c>
      <c r="D30" s="16" t="n">
        <v>224</v>
      </c>
      <c r="E30" s="16" t="n">
        <v>13</v>
      </c>
      <c r="F30" s="16" t="n">
        <v>1</v>
      </c>
      <c r="G30" s="16" t="n">
        <v>11</v>
      </c>
      <c r="H30" s="16" t="n">
        <v>49</v>
      </c>
    </row>
    <row r="31" customFormat="false" ht="15" hidden="false" customHeight="false" outlineLevel="0" collapsed="false">
      <c r="A31" s="15" t="n">
        <v>46233</v>
      </c>
      <c r="B31" s="16" t="n">
        <v>7</v>
      </c>
      <c r="C31" s="16" t="n">
        <v>1</v>
      </c>
      <c r="D31" s="16" t="n">
        <v>174</v>
      </c>
      <c r="E31" s="16" t="n">
        <v>17</v>
      </c>
      <c r="F31" s="16" t="n">
        <v>2</v>
      </c>
      <c r="G31" s="16" t="n">
        <v>4</v>
      </c>
      <c r="H31" s="16" t="n">
        <v>11</v>
      </c>
    </row>
    <row r="32" customFormat="false" ht="15" hidden="false" customHeight="false" outlineLevel="0" collapsed="false">
      <c r="A32" s="15" t="n">
        <v>46234</v>
      </c>
      <c r="B32" s="16" t="n">
        <v>1</v>
      </c>
      <c r="C32" s="16" t="n">
        <v>2</v>
      </c>
      <c r="D32" s="16" t="n">
        <v>123</v>
      </c>
      <c r="E32" s="16" t="n">
        <v>13</v>
      </c>
      <c r="F32" s="16" t="n">
        <v>0</v>
      </c>
      <c r="G32" s="16" t="n">
        <v>4</v>
      </c>
      <c r="H32" s="16" t="n">
        <v>12</v>
      </c>
    </row>
    <row r="33" customFormat="false" ht="15" hidden="false" customHeight="false" outlineLevel="0" collapsed="false">
      <c r="A33" s="15" t="n">
        <v>46235</v>
      </c>
      <c r="B33" s="16" t="n">
        <v>0</v>
      </c>
      <c r="C33" s="16" t="n">
        <v>0</v>
      </c>
      <c r="D33" s="16" t="n">
        <v>49</v>
      </c>
      <c r="E33" s="16" t="n">
        <v>3</v>
      </c>
      <c r="F33" s="16" t="n">
        <v>1</v>
      </c>
      <c r="G33" s="16" t="n">
        <v>2</v>
      </c>
      <c r="H33" s="16" t="n">
        <v>3</v>
      </c>
    </row>
    <row r="34" customFormat="false" ht="15" hidden="false" customHeight="false" outlineLevel="0" collapsed="false">
      <c r="A34" s="15" t="n">
        <v>46236</v>
      </c>
      <c r="B34" s="16" t="n">
        <v>0</v>
      </c>
      <c r="C34" s="16" t="n">
        <v>0</v>
      </c>
      <c r="D34" s="16" t="n">
        <v>87</v>
      </c>
      <c r="E34" s="16" t="n">
        <v>23</v>
      </c>
      <c r="F34" s="16" t="n">
        <v>1</v>
      </c>
      <c r="G34" s="16" t="n">
        <v>2</v>
      </c>
      <c r="H34" s="16" t="n">
        <v>8</v>
      </c>
    </row>
    <row r="35" customFormat="false" ht="15" hidden="false" customHeight="false" outlineLevel="0" collapsed="false">
      <c r="A35" s="15" t="n">
        <v>46237</v>
      </c>
      <c r="B35" s="16" t="n">
        <v>26</v>
      </c>
      <c r="C35" s="16" t="n">
        <v>4</v>
      </c>
      <c r="D35" s="16" t="n">
        <v>575</v>
      </c>
      <c r="E35" s="16" t="n">
        <v>39</v>
      </c>
      <c r="F35" s="16" t="n">
        <v>2</v>
      </c>
      <c r="G35" s="16" t="n">
        <v>9</v>
      </c>
      <c r="H35" s="16" t="n">
        <v>60</v>
      </c>
    </row>
    <row r="36" customFormat="false" ht="15" hidden="false" customHeight="false" outlineLevel="0" collapsed="false">
      <c r="A36" s="15" t="n">
        <v>46238</v>
      </c>
      <c r="B36" s="16" t="n">
        <v>10</v>
      </c>
      <c r="C36" s="16" t="n">
        <v>4</v>
      </c>
      <c r="D36" s="16" t="n">
        <v>260</v>
      </c>
      <c r="E36" s="16" t="n">
        <v>5</v>
      </c>
      <c r="F36" s="16" t="n">
        <v>1</v>
      </c>
      <c r="G36" s="16" t="n">
        <v>1</v>
      </c>
      <c r="H36" s="16" t="n">
        <v>7</v>
      </c>
    </row>
    <row r="37" customFormat="false" ht="15" hidden="false" customHeight="false" outlineLevel="0" collapsed="false">
      <c r="A37" s="15" t="n">
        <v>46239</v>
      </c>
      <c r="B37" s="16" t="n">
        <v>5</v>
      </c>
      <c r="C37" s="16" t="n">
        <v>3</v>
      </c>
      <c r="D37" s="16" t="n">
        <v>215</v>
      </c>
      <c r="E37" s="16" t="n">
        <v>8</v>
      </c>
      <c r="F37" s="16" t="n">
        <v>4</v>
      </c>
      <c r="G37" s="16" t="n">
        <v>5</v>
      </c>
      <c r="H37" s="16" t="n">
        <v>21</v>
      </c>
    </row>
    <row r="38" customFormat="false" ht="15" hidden="false" customHeight="false" outlineLevel="0" collapsed="false">
      <c r="A38" s="15" t="n">
        <v>46240</v>
      </c>
      <c r="B38" s="16" t="n">
        <v>7</v>
      </c>
      <c r="C38" s="16" t="n">
        <v>0</v>
      </c>
      <c r="D38" s="16" t="n">
        <v>212</v>
      </c>
      <c r="E38" s="16" t="n">
        <v>3</v>
      </c>
      <c r="F38" s="16" t="n">
        <v>3</v>
      </c>
      <c r="G38" s="16" t="n">
        <v>5</v>
      </c>
      <c r="H38" s="16" t="n">
        <v>13</v>
      </c>
    </row>
    <row r="39" customFormat="false" ht="15" hidden="false" customHeight="false" outlineLevel="0" collapsed="false">
      <c r="A39" s="15" t="n">
        <v>46241</v>
      </c>
      <c r="B39" s="16" t="n">
        <v>11</v>
      </c>
      <c r="C39" s="16" t="n">
        <v>1</v>
      </c>
      <c r="D39" s="16" t="n">
        <v>154</v>
      </c>
      <c r="E39" s="16" t="n">
        <v>7</v>
      </c>
      <c r="F39" s="16" t="n">
        <v>3</v>
      </c>
      <c r="G39" s="16" t="n">
        <v>8</v>
      </c>
      <c r="H39" s="16" t="n">
        <v>16</v>
      </c>
    </row>
    <row r="40" customFormat="false" ht="15" hidden="false" customHeight="false" outlineLevel="0" collapsed="false">
      <c r="A40" s="15" t="n">
        <v>46242</v>
      </c>
      <c r="B40" s="16" t="n">
        <v>2</v>
      </c>
      <c r="C40" s="16" t="n">
        <v>0</v>
      </c>
      <c r="D40" s="16" t="n">
        <v>78</v>
      </c>
      <c r="E40" s="16" t="n">
        <v>0</v>
      </c>
      <c r="F40" s="16" t="n">
        <v>0</v>
      </c>
      <c r="G40" s="16" t="n">
        <v>4</v>
      </c>
      <c r="H40" s="16" t="n">
        <v>6</v>
      </c>
    </row>
    <row r="41" customFormat="false" ht="15" hidden="false" customHeight="false" outlineLevel="0" collapsed="false">
      <c r="A41" s="15" t="n">
        <v>46243</v>
      </c>
      <c r="B41" s="16" t="n">
        <v>2</v>
      </c>
      <c r="C41" s="16" t="n">
        <v>0</v>
      </c>
      <c r="D41" s="16" t="n">
        <v>63</v>
      </c>
      <c r="E41" s="16" t="n">
        <v>4</v>
      </c>
      <c r="F41" s="16" t="n">
        <v>0</v>
      </c>
      <c r="G41" s="16" t="n">
        <v>1</v>
      </c>
      <c r="H41" s="16" t="n">
        <v>1</v>
      </c>
    </row>
    <row r="42" customFormat="false" ht="15" hidden="false" customHeight="false" outlineLevel="0" collapsed="false">
      <c r="A42" s="15" t="n">
        <v>46244</v>
      </c>
      <c r="B42" s="16" t="n">
        <v>8</v>
      </c>
      <c r="C42" s="16" t="n">
        <v>12</v>
      </c>
      <c r="D42" s="16" t="n">
        <v>371</v>
      </c>
      <c r="E42" s="16" t="n">
        <v>32</v>
      </c>
      <c r="F42" s="16" t="n">
        <v>2</v>
      </c>
      <c r="G42" s="16" t="n">
        <v>4</v>
      </c>
      <c r="H42" s="16" t="n">
        <v>17</v>
      </c>
    </row>
    <row r="43" customFormat="false" ht="15" hidden="false" customHeight="false" outlineLevel="0" collapsed="false">
      <c r="A43" s="15" t="n">
        <v>46245</v>
      </c>
      <c r="B43" s="16" t="n">
        <v>15</v>
      </c>
      <c r="C43" s="16" t="n">
        <v>24</v>
      </c>
      <c r="D43" s="16" t="n">
        <v>422</v>
      </c>
      <c r="E43" s="16" t="n">
        <v>2</v>
      </c>
      <c r="F43" s="16" t="n">
        <v>6</v>
      </c>
      <c r="G43" s="16" t="n">
        <v>87</v>
      </c>
      <c r="H43" s="16" t="n">
        <v>107</v>
      </c>
    </row>
    <row r="44" customFormat="false" ht="15" hidden="false" customHeight="false" outlineLevel="0" collapsed="false">
      <c r="A44" s="15" t="n">
        <v>46246</v>
      </c>
      <c r="B44" s="16" t="n">
        <v>3</v>
      </c>
      <c r="C44" s="16" t="n">
        <v>6</v>
      </c>
      <c r="D44" s="16" t="n">
        <v>129</v>
      </c>
      <c r="E44" s="16" t="n">
        <v>1</v>
      </c>
      <c r="F44" s="16" t="n">
        <v>1</v>
      </c>
      <c r="G44" s="16" t="n">
        <v>25</v>
      </c>
      <c r="H44" s="16" t="n">
        <v>32</v>
      </c>
    </row>
    <row r="45" customFormat="false" ht="15" hidden="false" customHeight="false" outlineLevel="0" collapsed="false">
      <c r="A45" s="15" t="n">
        <v>46247</v>
      </c>
      <c r="B45" s="16" t="n">
        <v>8</v>
      </c>
      <c r="C45" s="16" t="n">
        <v>3</v>
      </c>
      <c r="D45" s="16" t="n">
        <v>91</v>
      </c>
      <c r="E45" s="16" t="n">
        <v>4</v>
      </c>
      <c r="F45" s="16" t="n">
        <v>4</v>
      </c>
      <c r="G45" s="16" t="n">
        <v>8</v>
      </c>
      <c r="H45" s="16" t="n">
        <v>31</v>
      </c>
    </row>
    <row r="46" customFormat="false" ht="15" hidden="false" customHeight="false" outlineLevel="0" collapsed="false">
      <c r="A46" s="15" t="n">
        <v>46248</v>
      </c>
      <c r="B46" s="16" t="n">
        <v>4</v>
      </c>
      <c r="C46" s="16" t="n">
        <v>3</v>
      </c>
      <c r="D46" s="16" t="n">
        <v>157</v>
      </c>
      <c r="E46" s="16" t="n">
        <v>11</v>
      </c>
      <c r="F46" s="16" t="n">
        <v>2</v>
      </c>
      <c r="G46" s="16" t="n">
        <v>9</v>
      </c>
      <c r="H46" s="16" t="n">
        <v>17</v>
      </c>
    </row>
    <row r="47" customFormat="false" ht="15" hidden="false" customHeight="false" outlineLevel="0" collapsed="false">
      <c r="A47" s="15" t="n">
        <v>46249</v>
      </c>
      <c r="B47" s="16" t="n">
        <v>3</v>
      </c>
      <c r="C47" s="16" t="n">
        <v>0</v>
      </c>
      <c r="D47" s="16" t="n">
        <v>111</v>
      </c>
      <c r="E47" s="16" t="n">
        <v>3</v>
      </c>
      <c r="F47" s="16" t="n">
        <v>0</v>
      </c>
      <c r="G47" s="16" t="n">
        <v>4</v>
      </c>
      <c r="H47" s="16" t="n">
        <v>9</v>
      </c>
    </row>
    <row r="48" customFormat="false" ht="15" hidden="false" customHeight="false" outlineLevel="0" collapsed="false">
      <c r="A48" s="15" t="n">
        <v>46250</v>
      </c>
      <c r="B48" s="16" t="n">
        <v>1</v>
      </c>
      <c r="C48" s="16" t="n">
        <v>12</v>
      </c>
      <c r="D48" s="16" t="n">
        <v>119</v>
      </c>
      <c r="E48" s="16" t="n">
        <v>4</v>
      </c>
      <c r="F48" s="16" t="n">
        <v>0</v>
      </c>
      <c r="G48" s="16" t="n">
        <v>2</v>
      </c>
      <c r="H48" s="16" t="n">
        <v>7</v>
      </c>
    </row>
    <row r="49" customFormat="false" ht="15" hidden="false" customHeight="false" outlineLevel="0" collapsed="false">
      <c r="A49" s="15" t="n">
        <v>46251</v>
      </c>
      <c r="B49" s="16" t="n">
        <v>3</v>
      </c>
      <c r="C49" s="16" t="n">
        <v>5</v>
      </c>
      <c r="D49" s="16" t="n">
        <v>122</v>
      </c>
      <c r="E49" s="16" t="n">
        <v>6</v>
      </c>
      <c r="F49" s="16" t="n">
        <v>2</v>
      </c>
      <c r="G49" s="16" t="n">
        <v>2</v>
      </c>
      <c r="H49" s="16" t="n">
        <v>9</v>
      </c>
    </row>
    <row r="50" customFormat="false" ht="15" hidden="false" customHeight="false" outlineLevel="0" collapsed="false">
      <c r="A50" s="15" t="n">
        <v>46252</v>
      </c>
      <c r="B50" s="16" t="n">
        <v>10</v>
      </c>
      <c r="C50" s="16" t="n">
        <v>5</v>
      </c>
      <c r="D50" s="16" t="n">
        <v>266</v>
      </c>
      <c r="E50" s="16" t="n">
        <v>22</v>
      </c>
      <c r="F50" s="16" t="n">
        <v>4</v>
      </c>
      <c r="G50" s="16" t="n">
        <v>9</v>
      </c>
      <c r="H50" s="16" t="n">
        <v>46</v>
      </c>
    </row>
    <row r="51" customFormat="false" ht="15" hidden="false" customHeight="false" outlineLevel="0" collapsed="false">
      <c r="A51" s="15" t="n">
        <v>46253</v>
      </c>
      <c r="B51" s="16" t="n">
        <v>10</v>
      </c>
      <c r="C51" s="16" t="n">
        <v>12</v>
      </c>
      <c r="D51" s="16" t="n">
        <v>180</v>
      </c>
      <c r="E51" s="16" t="n">
        <v>3</v>
      </c>
      <c r="F51" s="16" t="n">
        <v>16</v>
      </c>
      <c r="G51" s="16" t="n">
        <v>131</v>
      </c>
      <c r="H51" s="16" t="n">
        <v>160</v>
      </c>
    </row>
    <row r="52" customFormat="false" ht="15" hidden="false" customHeight="false" outlineLevel="0" collapsed="false">
      <c r="A52" s="15" t="n">
        <v>46254</v>
      </c>
      <c r="B52" s="16" t="n">
        <v>0</v>
      </c>
      <c r="C52" s="16" t="n">
        <v>12</v>
      </c>
      <c r="D52" s="16" t="n">
        <v>109</v>
      </c>
      <c r="E52" s="16" t="n">
        <v>7</v>
      </c>
      <c r="F52" s="16" t="n">
        <v>8</v>
      </c>
      <c r="G52" s="16" t="n">
        <v>19</v>
      </c>
      <c r="H52" s="16" t="n">
        <v>84</v>
      </c>
    </row>
    <row r="53" customFormat="false" ht="15" hidden="false" customHeight="false" outlineLevel="0" collapsed="false">
      <c r="A53" s="15" t="n">
        <v>46255</v>
      </c>
      <c r="B53" s="16" t="n">
        <v>3</v>
      </c>
      <c r="C53" s="16" t="n">
        <v>4</v>
      </c>
      <c r="D53" s="16" t="n">
        <v>77</v>
      </c>
      <c r="E53" s="16" t="n">
        <v>7</v>
      </c>
      <c r="F53" s="16" t="n">
        <v>0</v>
      </c>
      <c r="G53" s="16" t="n">
        <v>4</v>
      </c>
      <c r="H53" s="16" t="n">
        <v>26</v>
      </c>
    </row>
    <row r="54" customFormat="false" ht="15" hidden="false" customHeight="false" outlineLevel="0" collapsed="false">
      <c r="A54" s="15" t="n">
        <v>46256</v>
      </c>
      <c r="B54" s="16" t="n">
        <v>1</v>
      </c>
      <c r="C54" s="16" t="n">
        <v>1</v>
      </c>
      <c r="D54" s="16" t="n">
        <v>54</v>
      </c>
      <c r="E54" s="16" t="n">
        <v>4</v>
      </c>
      <c r="F54" s="16" t="n">
        <v>0</v>
      </c>
      <c r="G54" s="16" t="n">
        <v>1</v>
      </c>
      <c r="H54" s="16" t="n">
        <v>3</v>
      </c>
    </row>
    <row r="55" customFormat="false" ht="15" hidden="false" customHeight="false" outlineLevel="0" collapsed="false">
      <c r="A55" s="15" t="n">
        <v>46257</v>
      </c>
      <c r="B55" s="16" t="n">
        <v>23</v>
      </c>
      <c r="C55" s="16" t="n">
        <v>10</v>
      </c>
      <c r="D55" s="16" t="n">
        <v>156</v>
      </c>
      <c r="E55" s="16" t="n">
        <v>4</v>
      </c>
      <c r="F55" s="16" t="n">
        <v>1</v>
      </c>
      <c r="G55" s="16" t="n">
        <v>12</v>
      </c>
      <c r="H55" s="16" t="n">
        <v>21</v>
      </c>
    </row>
    <row r="56" customFormat="false" ht="15" hidden="false" customHeight="false" outlineLevel="0" collapsed="false">
      <c r="A56" s="15" t="n">
        <v>46258</v>
      </c>
      <c r="B56" s="16" t="n">
        <v>4</v>
      </c>
      <c r="C56" s="16" t="n">
        <v>7</v>
      </c>
      <c r="D56" s="16" t="n">
        <v>32</v>
      </c>
      <c r="E56" s="16" t="n">
        <v>3</v>
      </c>
      <c r="F56" s="16" t="n">
        <v>3</v>
      </c>
      <c r="G56" s="16" t="n">
        <v>13</v>
      </c>
      <c r="H56" s="16" t="n">
        <v>20</v>
      </c>
    </row>
    <row r="57" customFormat="false" ht="15" hidden="false" customHeight="false" outlineLevel="0" collapsed="false">
      <c r="A57" s="15" t="n">
        <v>46259</v>
      </c>
      <c r="B57" s="16" t="n">
        <v>10</v>
      </c>
      <c r="C57" s="16" t="n">
        <v>9</v>
      </c>
      <c r="D57" s="16" t="n">
        <v>157</v>
      </c>
      <c r="E57" s="16" t="n">
        <v>3</v>
      </c>
      <c r="F57" s="16" t="n">
        <v>3</v>
      </c>
      <c r="G57" s="16" t="n">
        <v>5</v>
      </c>
      <c r="H57" s="16" t="n">
        <v>64</v>
      </c>
    </row>
    <row r="58" customFormat="false" ht="15" hidden="false" customHeight="false" outlineLevel="0" collapsed="false">
      <c r="A58" s="15" t="n">
        <v>46260</v>
      </c>
      <c r="B58" s="16" t="n">
        <v>9</v>
      </c>
      <c r="C58" s="16" t="n">
        <v>1</v>
      </c>
      <c r="D58" s="16" t="n">
        <v>141</v>
      </c>
      <c r="E58" s="16" t="n">
        <v>0</v>
      </c>
      <c r="F58" s="16" t="n">
        <v>0</v>
      </c>
      <c r="G58" s="16" t="n">
        <v>4</v>
      </c>
      <c r="H58" s="16" t="n">
        <v>108</v>
      </c>
    </row>
    <row r="59" customFormat="false" ht="15" hidden="false" customHeight="false" outlineLevel="0" collapsed="false">
      <c r="A59" s="15" t="n">
        <v>46261</v>
      </c>
      <c r="B59" s="16" t="n">
        <v>1</v>
      </c>
      <c r="C59" s="16" t="n">
        <v>1</v>
      </c>
      <c r="D59" s="16" t="n">
        <v>175</v>
      </c>
      <c r="E59" s="16" t="n">
        <v>69</v>
      </c>
      <c r="F59" s="16" t="n">
        <v>0</v>
      </c>
      <c r="G59" s="16" t="n">
        <v>1</v>
      </c>
      <c r="H59" s="16" t="n">
        <v>54</v>
      </c>
    </row>
    <row r="60" customFormat="false" ht="15" hidden="false" customHeight="false" outlineLevel="0" collapsed="false">
      <c r="A60" s="15" t="n">
        <v>46262</v>
      </c>
      <c r="B60" s="16" t="n">
        <v>5</v>
      </c>
      <c r="C60" s="16" t="n">
        <v>3</v>
      </c>
      <c r="D60" s="16" t="n">
        <v>173</v>
      </c>
      <c r="E60" s="16" t="n">
        <v>3</v>
      </c>
      <c r="F60" s="16" t="n">
        <v>1</v>
      </c>
      <c r="G60" s="16" t="n">
        <v>5</v>
      </c>
      <c r="H60" s="16" t="n">
        <v>89</v>
      </c>
    </row>
    <row r="61" customFormat="false" ht="15" hidden="false" customHeight="false" outlineLevel="0" collapsed="false">
      <c r="A61" s="15" t="n">
        <v>46263</v>
      </c>
      <c r="B61" s="16" t="n">
        <v>2</v>
      </c>
      <c r="C61" s="16" t="n">
        <v>0</v>
      </c>
      <c r="D61" s="16" t="n">
        <v>34</v>
      </c>
      <c r="E61" s="16" t="n">
        <v>1</v>
      </c>
      <c r="F61" s="16" t="n">
        <v>0</v>
      </c>
      <c r="G61" s="16" t="n">
        <v>0</v>
      </c>
      <c r="H61" s="16" t="n">
        <v>22</v>
      </c>
    </row>
    <row r="62" customFormat="false" ht="15" hidden="false" customHeight="false" outlineLevel="0" collapsed="false">
      <c r="A62" s="15" t="n">
        <v>46264</v>
      </c>
      <c r="B62" s="16" t="n">
        <v>6</v>
      </c>
      <c r="C62" s="16" t="n">
        <v>0</v>
      </c>
      <c r="D62" s="16" t="n">
        <v>52</v>
      </c>
      <c r="E62" s="16" t="n">
        <v>7</v>
      </c>
      <c r="F62" s="16" t="n">
        <v>1</v>
      </c>
      <c r="G62" s="16" t="n">
        <v>3</v>
      </c>
      <c r="H62" s="16" t="n">
        <v>41</v>
      </c>
    </row>
    <row r="63" customFormat="false" ht="15" hidden="false" customHeight="false" outlineLevel="0" collapsed="false">
      <c r="A63" s="15" t="n">
        <v>46265</v>
      </c>
      <c r="B63" s="16" t="n">
        <v>3</v>
      </c>
      <c r="C63" s="16" t="n">
        <v>5</v>
      </c>
      <c r="D63" s="16" t="n">
        <v>157</v>
      </c>
      <c r="E63" s="16" t="n">
        <v>26</v>
      </c>
      <c r="F63" s="16" t="n">
        <v>0</v>
      </c>
      <c r="G63" s="16" t="n">
        <v>2</v>
      </c>
      <c r="H63" s="16" t="n">
        <v>59</v>
      </c>
    </row>
    <row r="64" customFormat="false" ht="15" hidden="false" customHeight="false" outlineLevel="0" collapsed="false">
      <c r="A64" s="15" t="n">
        <v>46266</v>
      </c>
      <c r="B64" s="16" t="n">
        <v>13</v>
      </c>
      <c r="C64" s="16" t="n">
        <v>1</v>
      </c>
      <c r="D64" s="16" t="n">
        <v>187</v>
      </c>
      <c r="E64" s="16" t="n">
        <v>1</v>
      </c>
      <c r="F64" s="16" t="n">
        <v>0</v>
      </c>
      <c r="G64" s="16" t="n">
        <v>0</v>
      </c>
      <c r="H64" s="16" t="n">
        <v>21</v>
      </c>
    </row>
    <row r="65" customFormat="false" ht="15" hidden="false" customHeight="false" outlineLevel="0" collapsed="false">
      <c r="A65" s="15" t="n">
        <v>46267</v>
      </c>
      <c r="B65" s="16" t="n">
        <v>7</v>
      </c>
      <c r="C65" s="16" t="n">
        <v>4</v>
      </c>
      <c r="D65" s="16" t="n">
        <v>250</v>
      </c>
      <c r="E65" s="16" t="n">
        <v>23</v>
      </c>
      <c r="F65" s="16" t="n">
        <v>0</v>
      </c>
      <c r="G65" s="16" t="n">
        <v>1</v>
      </c>
      <c r="H65" s="16" t="n">
        <v>35</v>
      </c>
    </row>
    <row r="66" customFormat="false" ht="15" hidden="false" customHeight="false" outlineLevel="0" collapsed="false">
      <c r="A66" s="15" t="n">
        <v>46268</v>
      </c>
      <c r="B66" s="16" t="n">
        <v>2</v>
      </c>
      <c r="C66" s="16" t="n">
        <v>5</v>
      </c>
      <c r="D66" s="16" t="n">
        <v>187</v>
      </c>
      <c r="E66" s="16" t="n">
        <v>6</v>
      </c>
      <c r="F66" s="16" t="n">
        <v>2</v>
      </c>
      <c r="G66" s="16" t="n">
        <v>3</v>
      </c>
      <c r="H66" s="16" t="n">
        <v>45</v>
      </c>
    </row>
    <row r="67" customFormat="false" ht="15" hidden="false" customHeight="false" outlineLevel="0" collapsed="false">
      <c r="A67" s="15" t="n">
        <v>46269</v>
      </c>
      <c r="B67" s="16" t="n">
        <v>2</v>
      </c>
      <c r="C67" s="16" t="n">
        <v>6</v>
      </c>
      <c r="D67" s="16" t="n">
        <v>123</v>
      </c>
      <c r="E67" s="16" t="n">
        <v>0</v>
      </c>
      <c r="F67" s="16" t="n">
        <v>1</v>
      </c>
      <c r="G67" s="16" t="n">
        <v>8</v>
      </c>
      <c r="H67" s="16" t="n">
        <v>42</v>
      </c>
    </row>
    <row r="68" customFormat="false" ht="15" hidden="false" customHeight="false" outlineLevel="0" collapsed="false">
      <c r="A68" s="15" t="n">
        <v>46270</v>
      </c>
      <c r="B68" s="16" t="n">
        <v>1</v>
      </c>
      <c r="C68" s="16" t="n">
        <v>3</v>
      </c>
      <c r="D68" s="16" t="n">
        <v>62</v>
      </c>
      <c r="E68" s="16" t="n">
        <v>0</v>
      </c>
      <c r="F68" s="16" t="n">
        <v>0</v>
      </c>
      <c r="G68" s="16" t="n">
        <v>2</v>
      </c>
      <c r="H68" s="16" t="n">
        <v>11</v>
      </c>
    </row>
    <row r="69" customFormat="false" ht="15" hidden="false" customHeight="false" outlineLevel="0" collapsed="false">
      <c r="A69" s="15" t="n">
        <v>46271</v>
      </c>
      <c r="B69" s="16" t="n">
        <v>0</v>
      </c>
      <c r="C69" s="16" t="n">
        <v>9</v>
      </c>
      <c r="D69" s="16" t="n">
        <v>69</v>
      </c>
      <c r="E69" s="16" t="n">
        <v>37</v>
      </c>
      <c r="F69" s="16" t="n">
        <v>0</v>
      </c>
      <c r="G69" s="16" t="n">
        <v>1</v>
      </c>
      <c r="H69" s="16" t="n">
        <v>25</v>
      </c>
    </row>
    <row r="70" customFormat="false" ht="15" hidden="false" customHeight="false" outlineLevel="0" collapsed="false">
      <c r="A70" s="15" t="n">
        <v>46272</v>
      </c>
      <c r="B70" s="16" t="n">
        <v>8</v>
      </c>
      <c r="C70" s="16" t="n">
        <v>3</v>
      </c>
      <c r="D70" s="16" t="n">
        <v>159</v>
      </c>
      <c r="E70" s="16" t="n">
        <v>27</v>
      </c>
      <c r="F70" s="16" t="n">
        <v>0</v>
      </c>
      <c r="G70" s="16" t="n">
        <v>2</v>
      </c>
      <c r="H70" s="16" t="n">
        <v>46</v>
      </c>
    </row>
    <row r="71" customFormat="false" ht="15" hidden="false" customHeight="false" outlineLevel="0" collapsed="false">
      <c r="A71" s="15" t="n">
        <v>46273</v>
      </c>
      <c r="B71" s="16" t="n">
        <v>7</v>
      </c>
      <c r="C71" s="16" t="n">
        <v>30</v>
      </c>
      <c r="D71" s="16" t="n">
        <v>259</v>
      </c>
      <c r="E71" s="16" t="n">
        <v>30</v>
      </c>
      <c r="F71" s="16" t="n">
        <v>0</v>
      </c>
      <c r="G71" s="16" t="n">
        <v>10</v>
      </c>
      <c r="H71" s="16" t="n">
        <v>84</v>
      </c>
    </row>
    <row r="72" customFormat="false" ht="15" hidden="false" customHeight="false" outlineLevel="0" collapsed="false">
      <c r="A72" s="15" t="n">
        <v>46274</v>
      </c>
      <c r="B72" s="16" t="n">
        <v>9</v>
      </c>
      <c r="C72" s="16" t="n">
        <v>100</v>
      </c>
      <c r="D72" s="16" t="n">
        <v>625</v>
      </c>
      <c r="E72" s="16" t="n">
        <v>8</v>
      </c>
      <c r="F72" s="16" t="n">
        <v>0</v>
      </c>
      <c r="G72" s="16" t="n">
        <v>14</v>
      </c>
      <c r="H72" s="16" t="n">
        <v>440</v>
      </c>
    </row>
    <row r="73" customFormat="false" ht="15" hidden="false" customHeight="false" outlineLevel="0" collapsed="false">
      <c r="A73" s="15" t="n">
        <v>46275</v>
      </c>
      <c r="B73" s="16" t="n">
        <v>10</v>
      </c>
      <c r="C73" s="16" t="n">
        <v>21</v>
      </c>
      <c r="D73" s="16" t="n">
        <v>255</v>
      </c>
      <c r="E73" s="16" t="n">
        <v>12</v>
      </c>
      <c r="F73" s="16" t="n">
        <v>3</v>
      </c>
      <c r="G73" s="16" t="n">
        <v>6</v>
      </c>
      <c r="H73" s="16" t="n">
        <v>166</v>
      </c>
    </row>
    <row r="74" customFormat="false" ht="15" hidden="false" customHeight="false" outlineLevel="0" collapsed="false">
      <c r="A74" s="15" t="n">
        <v>46276</v>
      </c>
      <c r="B74" s="16" t="n">
        <v>0</v>
      </c>
      <c r="C74" s="16" t="n">
        <v>3</v>
      </c>
      <c r="D74" s="16" t="n">
        <v>109</v>
      </c>
      <c r="E74" s="16" t="n">
        <v>6</v>
      </c>
      <c r="F74" s="16" t="n">
        <v>0</v>
      </c>
      <c r="G74" s="16" t="n">
        <v>2</v>
      </c>
      <c r="H74" s="16" t="n">
        <v>47</v>
      </c>
    </row>
    <row r="75" customFormat="false" ht="15" hidden="false" customHeight="false" outlineLevel="0" collapsed="false">
      <c r="A75" s="15" t="n">
        <v>46277</v>
      </c>
      <c r="B75" s="16" t="n">
        <v>3</v>
      </c>
      <c r="C75" s="16" t="n">
        <v>2</v>
      </c>
      <c r="D75" s="16" t="n">
        <v>105</v>
      </c>
      <c r="E75" s="16" t="n">
        <v>3</v>
      </c>
      <c r="F75" s="16" t="n">
        <v>0</v>
      </c>
      <c r="G75" s="16" t="n">
        <v>3</v>
      </c>
      <c r="H75" s="16" t="n">
        <v>74</v>
      </c>
    </row>
    <row r="76" customFormat="false" ht="15" hidden="false" customHeight="false" outlineLevel="0" collapsed="false">
      <c r="A76" s="15" t="n">
        <v>46278</v>
      </c>
      <c r="B76" s="16" t="n">
        <v>0</v>
      </c>
      <c r="C76" s="16" t="n">
        <v>19</v>
      </c>
      <c r="D76" s="16" t="n">
        <v>116</v>
      </c>
      <c r="E76" s="16" t="n">
        <v>16</v>
      </c>
      <c r="F76" s="16" t="n">
        <v>0</v>
      </c>
      <c r="G76" s="16" t="n">
        <v>2</v>
      </c>
      <c r="H76" s="16" t="n">
        <v>41</v>
      </c>
    </row>
    <row r="77" customFormat="false" ht="15" hidden="false" customHeight="false" outlineLevel="0" collapsed="false">
      <c r="A77" s="15" t="n">
        <v>46279</v>
      </c>
      <c r="B77" s="16" t="n">
        <v>8</v>
      </c>
      <c r="C77" s="16" t="n">
        <v>6</v>
      </c>
      <c r="D77" s="16" t="n">
        <v>218</v>
      </c>
      <c r="E77" s="16" t="n">
        <v>7</v>
      </c>
      <c r="F77" s="16" t="n">
        <v>0</v>
      </c>
      <c r="G77" s="16" t="n">
        <v>3</v>
      </c>
      <c r="H77" s="16" t="n">
        <v>178</v>
      </c>
    </row>
    <row r="78" customFormat="false" ht="15" hidden="false" customHeight="false" outlineLevel="0" collapsed="false">
      <c r="A78" s="15" t="n">
        <v>46280</v>
      </c>
      <c r="B78" s="16" t="n">
        <v>6</v>
      </c>
      <c r="C78" s="16" t="n">
        <v>58</v>
      </c>
      <c r="D78" s="16" t="n">
        <v>215</v>
      </c>
      <c r="E78" s="16" t="n">
        <v>77</v>
      </c>
      <c r="F78" s="16" t="n">
        <v>3</v>
      </c>
      <c r="G78" s="16" t="n">
        <v>40</v>
      </c>
      <c r="H78" s="16" t="n">
        <v>310</v>
      </c>
    </row>
    <row r="79" customFormat="false" ht="15" hidden="false" customHeight="false" outlineLevel="0" collapsed="false">
      <c r="A79" s="15" t="n">
        <v>46281</v>
      </c>
      <c r="B79" s="16" t="n">
        <v>10</v>
      </c>
      <c r="C79" s="16" t="n">
        <v>9</v>
      </c>
      <c r="D79" s="16" t="n">
        <v>97</v>
      </c>
      <c r="E79" s="16" t="n">
        <v>13</v>
      </c>
      <c r="F79" s="16" t="n">
        <v>0</v>
      </c>
      <c r="G79" s="16" t="n">
        <v>6</v>
      </c>
      <c r="H79" s="16" t="n">
        <v>102</v>
      </c>
    </row>
    <row r="80" customFormat="false" ht="15" hidden="false" customHeight="false" outlineLevel="0" collapsed="false">
      <c r="A80" s="15" t="n">
        <v>46282</v>
      </c>
      <c r="B80" s="16" t="n">
        <v>4</v>
      </c>
      <c r="C80" s="16" t="n">
        <v>1</v>
      </c>
      <c r="D80" s="16" t="n">
        <v>114</v>
      </c>
      <c r="E80" s="16" t="n">
        <v>1</v>
      </c>
      <c r="F80" s="16" t="n">
        <v>0</v>
      </c>
      <c r="G80" s="16" t="n">
        <v>6</v>
      </c>
      <c r="H80" s="16" t="n">
        <v>49</v>
      </c>
    </row>
    <row r="81" customFormat="false" ht="15" hidden="false" customHeight="false" outlineLevel="0" collapsed="false">
      <c r="A81" s="15" t="n">
        <v>46283</v>
      </c>
      <c r="B81" s="16" t="n">
        <v>7</v>
      </c>
      <c r="C81" s="16" t="n">
        <v>45</v>
      </c>
      <c r="D81" s="16" t="n">
        <v>278</v>
      </c>
      <c r="E81" s="16" t="n">
        <v>51</v>
      </c>
      <c r="F81" s="16" t="n">
        <v>0</v>
      </c>
      <c r="G81" s="16" t="n">
        <v>23</v>
      </c>
      <c r="H81" s="16" t="n">
        <v>274</v>
      </c>
    </row>
    <row r="82" customFormat="false" ht="15" hidden="false" customHeight="false" outlineLevel="0" collapsed="false">
      <c r="A82" s="15" t="n">
        <v>46284</v>
      </c>
      <c r="B82" s="16" t="n">
        <v>2</v>
      </c>
      <c r="C82" s="16" t="n">
        <v>5</v>
      </c>
      <c r="D82" s="16" t="n">
        <v>59</v>
      </c>
      <c r="E82" s="16" t="n">
        <v>9</v>
      </c>
      <c r="F82" s="16" t="n">
        <v>0</v>
      </c>
      <c r="G82" s="16" t="n">
        <v>2</v>
      </c>
      <c r="H82" s="16" t="n">
        <v>29</v>
      </c>
    </row>
    <row r="83" customFormat="false" ht="15" hidden="false" customHeight="false" outlineLevel="0" collapsed="false">
      <c r="A83" s="15" t="n">
        <v>46285</v>
      </c>
      <c r="B83" s="16" t="n">
        <v>0</v>
      </c>
      <c r="C83" s="16" t="n">
        <v>2</v>
      </c>
      <c r="D83" s="16" t="n">
        <v>12</v>
      </c>
      <c r="E83" s="16" t="n">
        <v>6</v>
      </c>
      <c r="F83" s="16" t="n">
        <v>0</v>
      </c>
      <c r="G83" s="16" t="n">
        <v>0</v>
      </c>
      <c r="H83" s="16" t="n">
        <v>7</v>
      </c>
    </row>
    <row r="84" customFormat="false" ht="15" hidden="false" customHeight="false" outlineLevel="0" collapsed="false">
      <c r="A84" s="15" t="n">
        <v>46286</v>
      </c>
      <c r="B84" s="16" t="n">
        <v>6</v>
      </c>
      <c r="C84" s="16" t="n">
        <v>2</v>
      </c>
      <c r="D84" s="16" t="n">
        <v>149</v>
      </c>
      <c r="E84" s="16" t="n">
        <v>12</v>
      </c>
      <c r="F84" s="16" t="n">
        <v>0</v>
      </c>
      <c r="G84" s="16" t="n">
        <v>4</v>
      </c>
      <c r="H84" s="16" t="n">
        <v>57</v>
      </c>
    </row>
    <row r="85" customFormat="false" ht="15" hidden="false" customHeight="false" outlineLevel="0" collapsed="false">
      <c r="A85" s="15" t="n">
        <v>46287</v>
      </c>
      <c r="B85" s="16" t="n">
        <v>6</v>
      </c>
      <c r="C85" s="16" t="n">
        <v>7</v>
      </c>
      <c r="D85" s="16" t="n">
        <v>134</v>
      </c>
      <c r="E85" s="16" t="n">
        <v>4</v>
      </c>
      <c r="F85" s="16" t="n">
        <v>2</v>
      </c>
      <c r="G85" s="16" t="n">
        <v>4</v>
      </c>
      <c r="H85" s="16" t="n">
        <v>29</v>
      </c>
    </row>
    <row r="86" customFormat="false" ht="15" hidden="false" customHeight="false" outlineLevel="0" collapsed="false">
      <c r="A86" s="15" t="n">
        <v>46288</v>
      </c>
      <c r="B86" s="16" t="n">
        <v>7</v>
      </c>
      <c r="C86" s="16" t="n">
        <v>4</v>
      </c>
      <c r="D86" s="16" t="n">
        <v>187</v>
      </c>
      <c r="E86" s="16" t="n">
        <v>31</v>
      </c>
      <c r="F86" s="16" t="n">
        <v>2</v>
      </c>
      <c r="G86" s="16" t="n">
        <v>7</v>
      </c>
      <c r="H86" s="16" t="n">
        <v>45</v>
      </c>
    </row>
    <row r="87" customFormat="false" ht="15" hidden="false" customHeight="false" outlineLevel="0" collapsed="false">
      <c r="A87" s="15" t="n">
        <v>46289</v>
      </c>
      <c r="B87" s="16" t="n">
        <v>6</v>
      </c>
      <c r="C87" s="16" t="n">
        <v>2</v>
      </c>
      <c r="D87" s="16" t="n">
        <v>124</v>
      </c>
      <c r="E87" s="16" t="n">
        <v>16</v>
      </c>
      <c r="F87" s="16" t="n">
        <v>0</v>
      </c>
      <c r="G87" s="16" t="n">
        <v>2</v>
      </c>
      <c r="H87" s="16" t="n">
        <v>29</v>
      </c>
    </row>
    <row r="88" customFormat="false" ht="15" hidden="false" customHeight="false" outlineLevel="0" collapsed="false">
      <c r="A88" s="15" t="n">
        <v>46290</v>
      </c>
      <c r="B88" s="16" t="n">
        <v>9</v>
      </c>
      <c r="C88" s="16" t="n">
        <v>0</v>
      </c>
      <c r="D88" s="16" t="n">
        <v>130</v>
      </c>
      <c r="E88" s="16" t="n">
        <v>7</v>
      </c>
      <c r="F88" s="16" t="n">
        <v>4</v>
      </c>
      <c r="G88" s="16" t="n">
        <v>5</v>
      </c>
      <c r="H88" s="16" t="n">
        <v>29</v>
      </c>
    </row>
    <row r="89" customFormat="false" ht="15" hidden="false" customHeight="false" outlineLevel="0" collapsed="false">
      <c r="A89" s="15" t="n">
        <v>46291</v>
      </c>
      <c r="B89" s="16" t="n">
        <v>2</v>
      </c>
      <c r="C89" s="16" t="n">
        <v>0</v>
      </c>
      <c r="D89" s="16" t="n">
        <v>51</v>
      </c>
      <c r="E89" s="16" t="n">
        <v>9</v>
      </c>
      <c r="F89" s="16" t="n">
        <v>0</v>
      </c>
      <c r="G89" s="16" t="n">
        <v>0</v>
      </c>
      <c r="H89" s="16" t="n">
        <v>5</v>
      </c>
    </row>
    <row r="90" customFormat="false" ht="15" hidden="false" customHeight="false" outlineLevel="0" collapsed="false">
      <c r="A90" s="15" t="n">
        <v>46292</v>
      </c>
      <c r="B90" s="16" t="n">
        <v>0</v>
      </c>
      <c r="C90" s="16" t="n">
        <v>3</v>
      </c>
      <c r="D90" s="16" t="n">
        <v>65</v>
      </c>
      <c r="E90" s="16" t="n">
        <v>4</v>
      </c>
      <c r="F90" s="16" t="n">
        <v>0</v>
      </c>
      <c r="G90" s="16" t="n">
        <v>1</v>
      </c>
      <c r="H90" s="16" t="n">
        <v>8</v>
      </c>
    </row>
    <row r="91" customFormat="false" ht="15" hidden="false" customHeight="false" outlineLevel="0" collapsed="false">
      <c r="A91" s="15" t="n">
        <v>46293</v>
      </c>
      <c r="B91" s="16" t="n">
        <v>6</v>
      </c>
      <c r="C91" s="16" t="n">
        <v>3</v>
      </c>
      <c r="D91" s="16" t="n">
        <v>180</v>
      </c>
      <c r="E91" s="16" t="n">
        <v>6</v>
      </c>
      <c r="F91" s="16" t="n">
        <v>3</v>
      </c>
      <c r="G91" s="16" t="n">
        <v>5</v>
      </c>
      <c r="H91" s="16" t="n">
        <v>30</v>
      </c>
    </row>
    <row r="92" customFormat="false" ht="15" hidden="false" customHeight="false" outlineLevel="0" collapsed="false">
      <c r="A92" s="15" t="n">
        <v>46294</v>
      </c>
      <c r="B92" s="16" t="n">
        <v>4</v>
      </c>
      <c r="C92" s="16" t="n">
        <v>0</v>
      </c>
      <c r="D92" s="16" t="n">
        <v>95</v>
      </c>
      <c r="E92" s="16" t="n">
        <v>0</v>
      </c>
      <c r="F92" s="16" t="n">
        <v>3</v>
      </c>
      <c r="G92" s="16" t="n">
        <v>6</v>
      </c>
      <c r="H92" s="16" t="n">
        <v>60</v>
      </c>
    </row>
    <row r="93" customFormat="false" ht="15" hidden="false" customHeight="false" outlineLevel="0" collapsed="false">
      <c r="A93" s="15" t="n">
        <v>46295</v>
      </c>
      <c r="B93" s="16" t="n">
        <v>15</v>
      </c>
      <c r="C93" s="16" t="n">
        <v>1</v>
      </c>
      <c r="D93" s="16" t="n">
        <v>162</v>
      </c>
      <c r="E93" s="16" t="n">
        <v>3</v>
      </c>
      <c r="F93" s="16" t="n">
        <v>2</v>
      </c>
      <c r="G93" s="16" t="n">
        <v>9</v>
      </c>
      <c r="H93" s="16" t="n">
        <v>147</v>
      </c>
    </row>
    <row r="94" customFormat="false" ht="15" hidden="false" customHeight="false" outlineLevel="0" collapsed="false">
      <c r="A94" s="15" t="n">
        <v>46296</v>
      </c>
      <c r="B94" s="16" t="n">
        <v>12</v>
      </c>
      <c r="C94" s="16" t="n">
        <v>35</v>
      </c>
      <c r="D94" s="16" t="n">
        <v>189</v>
      </c>
      <c r="E94" s="16" t="n">
        <v>6</v>
      </c>
      <c r="F94" s="16" t="n">
        <v>7</v>
      </c>
      <c r="G94" s="16" t="n">
        <v>32</v>
      </c>
      <c r="H94" s="16" t="n">
        <v>105</v>
      </c>
    </row>
    <row r="95" customFormat="false" ht="15" hidden="false" customHeight="false" outlineLevel="0" collapsed="false">
      <c r="A95" s="15" t="n">
        <v>46297</v>
      </c>
      <c r="B95" s="16" t="n">
        <v>9</v>
      </c>
      <c r="C95" s="16" t="n">
        <v>55</v>
      </c>
      <c r="D95" s="16" t="n">
        <v>194</v>
      </c>
      <c r="E95" s="16" t="n">
        <v>0</v>
      </c>
      <c r="F95" s="16" t="n">
        <v>3</v>
      </c>
      <c r="G95" s="16" t="n">
        <v>7</v>
      </c>
      <c r="H95" s="16" t="n">
        <v>183</v>
      </c>
    </row>
    <row r="96" customFormat="false" ht="15" hidden="false" customHeight="false" outlineLevel="0" collapsed="false">
      <c r="A96" s="15" t="n">
        <v>46298</v>
      </c>
      <c r="B96" s="16" t="n">
        <v>2</v>
      </c>
      <c r="C96" s="16" t="n">
        <v>6</v>
      </c>
      <c r="D96" s="16" t="n">
        <v>54</v>
      </c>
      <c r="E96" s="16" t="n">
        <v>0</v>
      </c>
      <c r="F96" s="16" t="n">
        <v>1</v>
      </c>
      <c r="G96" s="16" t="n">
        <v>3</v>
      </c>
      <c r="H96" s="16" t="n">
        <v>17</v>
      </c>
    </row>
    <row r="97" customFormat="false" ht="15" hidden="false" customHeight="false" outlineLevel="0" collapsed="false">
      <c r="A97" s="15" t="n">
        <v>46299</v>
      </c>
      <c r="B97" s="16" t="n">
        <v>0</v>
      </c>
      <c r="C97" s="16" t="n">
        <v>4</v>
      </c>
      <c r="D97" s="16" t="n">
        <v>45</v>
      </c>
      <c r="E97" s="16" t="n">
        <v>2</v>
      </c>
      <c r="F97" s="16" t="n">
        <v>0</v>
      </c>
      <c r="G97" s="16" t="n">
        <v>1</v>
      </c>
      <c r="H97" s="16" t="n">
        <v>19</v>
      </c>
    </row>
    <row r="98" customFormat="false" ht="15" hidden="false" customHeight="false" outlineLevel="0" collapsed="false">
      <c r="A98" s="15" t="n">
        <v>46300</v>
      </c>
      <c r="B98" s="16" t="n">
        <v>51</v>
      </c>
      <c r="C98" s="16" t="n">
        <v>8</v>
      </c>
      <c r="D98" s="16" t="n">
        <v>197</v>
      </c>
      <c r="E98" s="16" t="n">
        <v>13</v>
      </c>
      <c r="F98" s="16" t="n">
        <v>0</v>
      </c>
      <c r="G98" s="16" t="n">
        <v>5</v>
      </c>
      <c r="H98" s="16" t="n">
        <v>143</v>
      </c>
    </row>
    <row r="99" customFormat="false" ht="15" hidden="false" customHeight="false" outlineLevel="0" collapsed="false">
      <c r="A99" s="15" t="n">
        <v>46301</v>
      </c>
      <c r="B99" s="16" t="n">
        <v>4</v>
      </c>
      <c r="C99" s="16" t="n">
        <v>38</v>
      </c>
      <c r="D99" s="16" t="n">
        <v>521</v>
      </c>
      <c r="E99" s="16" t="n">
        <v>71</v>
      </c>
      <c r="F99" s="16" t="n">
        <v>2</v>
      </c>
      <c r="G99" s="16" t="n">
        <v>3</v>
      </c>
      <c r="H99" s="16" t="n">
        <v>171</v>
      </c>
    </row>
    <row r="100" customFormat="false" ht="15" hidden="false" customHeight="false" outlineLevel="0" collapsed="false">
      <c r="A100" s="15" t="n">
        <v>46302</v>
      </c>
      <c r="B100" s="16" t="n">
        <v>8</v>
      </c>
      <c r="C100" s="16" t="n">
        <v>61</v>
      </c>
      <c r="D100" s="16" t="n">
        <v>307</v>
      </c>
      <c r="E100" s="16" t="n">
        <v>57</v>
      </c>
      <c r="F100" s="16" t="n">
        <v>2</v>
      </c>
      <c r="G100" s="16" t="n">
        <v>19</v>
      </c>
      <c r="H100" s="16" t="n">
        <v>112</v>
      </c>
    </row>
    <row r="101" customFormat="false" ht="15" hidden="false" customHeight="false" outlineLevel="0" collapsed="false">
      <c r="A101" s="15" t="n">
        <v>46303</v>
      </c>
      <c r="B101" s="16" t="n">
        <v>4</v>
      </c>
      <c r="C101" s="16" t="n">
        <v>9</v>
      </c>
      <c r="D101" s="16" t="n">
        <v>216</v>
      </c>
      <c r="E101" s="16" t="n">
        <v>8</v>
      </c>
      <c r="F101" s="16" t="n">
        <v>3</v>
      </c>
      <c r="G101" s="16" t="n">
        <v>6</v>
      </c>
      <c r="H101" s="16" t="n">
        <v>59</v>
      </c>
    </row>
    <row r="102" customFormat="false" ht="15" hidden="false" customHeight="false" outlineLevel="0" collapsed="false">
      <c r="A102" s="15" t="n">
        <v>46304</v>
      </c>
      <c r="B102" s="16" t="n">
        <v>2</v>
      </c>
      <c r="C102" s="16" t="n">
        <v>0</v>
      </c>
      <c r="D102" s="16" t="n">
        <v>39</v>
      </c>
      <c r="E102" s="16" t="n">
        <v>2</v>
      </c>
      <c r="F102" s="16" t="n">
        <v>0</v>
      </c>
      <c r="G102" s="16" t="n">
        <v>1</v>
      </c>
      <c r="H102" s="16" t="n">
        <v>6</v>
      </c>
    </row>
    <row r="103" customFormat="false" ht="15" hidden="false" customHeight="false" outlineLevel="0" collapsed="false">
      <c r="A103" s="15" t="n">
        <v>46305</v>
      </c>
      <c r="B103" s="16" t="n">
        <v>0</v>
      </c>
      <c r="C103" s="16" t="n">
        <v>0</v>
      </c>
      <c r="D103" s="16" t="n">
        <v>90</v>
      </c>
      <c r="E103" s="16" t="n">
        <v>0</v>
      </c>
      <c r="F103" s="16" t="n">
        <v>1</v>
      </c>
      <c r="G103" s="16" t="n">
        <v>0</v>
      </c>
      <c r="H103" s="16" t="n">
        <v>6</v>
      </c>
    </row>
    <row r="104" customFormat="false" ht="15" hidden="false" customHeight="false" outlineLevel="0" collapsed="false">
      <c r="A104" s="15" t="n">
        <v>46306</v>
      </c>
      <c r="B104" s="16" t="n">
        <v>0</v>
      </c>
      <c r="C104" s="16" t="n">
        <v>1</v>
      </c>
      <c r="D104" s="16" t="n">
        <v>34</v>
      </c>
      <c r="E104" s="16" t="n">
        <v>3</v>
      </c>
      <c r="F104" s="16" t="n">
        <v>0</v>
      </c>
      <c r="G104" s="16" t="n">
        <v>2</v>
      </c>
      <c r="H104" s="16" t="n">
        <v>9</v>
      </c>
    </row>
    <row r="105" customFormat="false" ht="15" hidden="false" customHeight="false" outlineLevel="0" collapsed="false">
      <c r="A105" s="15" t="n">
        <v>46307</v>
      </c>
      <c r="B105" s="16" t="n">
        <v>2</v>
      </c>
      <c r="C105" s="16" t="n">
        <v>26</v>
      </c>
      <c r="D105" s="16" t="n">
        <v>201</v>
      </c>
      <c r="E105" s="16" t="n">
        <v>82</v>
      </c>
      <c r="F105" s="16" t="n">
        <v>1</v>
      </c>
      <c r="G105" s="16" t="n">
        <v>6</v>
      </c>
      <c r="H105" s="16" t="n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5" min="2" style="0" width="15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41</v>
      </c>
    </row>
    <row r="3" customFormat="false" ht="15" hidden="false" customHeight="false" outlineLevel="0" collapsed="false">
      <c r="A3" s="2" t="s">
        <v>42</v>
      </c>
    </row>
    <row r="4" customFormat="false" ht="15" hidden="false" customHeight="false" outlineLevel="0" collapsed="false">
      <c r="A4" s="2" t="s">
        <v>32</v>
      </c>
      <c r="B4" s="17" t="s">
        <v>13</v>
      </c>
      <c r="C4" s="18" t="s">
        <v>11</v>
      </c>
      <c r="D4" s="18" t="s">
        <v>11</v>
      </c>
      <c r="E4" s="18" t="s">
        <v>11</v>
      </c>
      <c r="F4" s="17" t="s">
        <v>13</v>
      </c>
      <c r="G4" s="18" t="s">
        <v>11</v>
      </c>
      <c r="H4" s="18" t="s">
        <v>11</v>
      </c>
      <c r="I4" s="18" t="s">
        <v>11</v>
      </c>
      <c r="J4" s="17" t="s">
        <v>13</v>
      </c>
      <c r="K4" s="18" t="s">
        <v>11</v>
      </c>
      <c r="L4" s="18" t="s">
        <v>11</v>
      </c>
      <c r="M4" s="18" t="s">
        <v>11</v>
      </c>
      <c r="N4" s="17" t="s">
        <v>13</v>
      </c>
      <c r="O4" s="18" t="s">
        <v>11</v>
      </c>
    </row>
    <row r="5" customFormat="false" ht="35.05" hidden="false" customHeight="false" outlineLevel="0" collapsed="false">
      <c r="A5" s="13" t="s">
        <v>33</v>
      </c>
      <c r="B5" s="14" t="s">
        <v>43</v>
      </c>
      <c r="C5" s="14" t="s">
        <v>44</v>
      </c>
      <c r="D5" s="14" t="s">
        <v>45</v>
      </c>
      <c r="E5" s="14" t="s">
        <v>46</v>
      </c>
      <c r="F5" s="14" t="s">
        <v>47</v>
      </c>
      <c r="G5" s="14" t="s">
        <v>48</v>
      </c>
      <c r="H5" s="14" t="s">
        <v>49</v>
      </c>
      <c r="I5" s="14" t="s">
        <v>50</v>
      </c>
      <c r="J5" s="14" t="s">
        <v>51</v>
      </c>
      <c r="K5" s="14" t="s">
        <v>52</v>
      </c>
      <c r="L5" s="14" t="s">
        <v>53</v>
      </c>
      <c r="M5" s="14" t="s">
        <v>54</v>
      </c>
      <c r="N5" s="14" t="s">
        <v>55</v>
      </c>
      <c r="O5" s="14" t="s">
        <v>56</v>
      </c>
    </row>
    <row r="6" customFormat="false" ht="15" hidden="false" customHeight="false" outlineLevel="0" collapsed="false">
      <c r="A6" s="15" t="n">
        <v>46226</v>
      </c>
      <c r="B6" s="16" t="n">
        <v>113</v>
      </c>
      <c r="C6" s="16" t="n">
        <v>116</v>
      </c>
      <c r="D6" s="16" t="n">
        <v>2900</v>
      </c>
      <c r="E6" s="16" t="n">
        <v>130</v>
      </c>
      <c r="F6" s="16" t="n">
        <v>33</v>
      </c>
      <c r="G6" s="16" t="n">
        <v>27</v>
      </c>
      <c r="H6" s="16" t="n">
        <v>111</v>
      </c>
      <c r="I6" s="16" t="n">
        <v>665</v>
      </c>
      <c r="J6" s="16" t="n">
        <v>53</v>
      </c>
      <c r="K6" s="16" t="n">
        <v>1526</v>
      </c>
      <c r="L6" s="16" t="n">
        <v>37</v>
      </c>
      <c r="M6" s="16" t="n">
        <v>88</v>
      </c>
      <c r="N6" s="16" t="n">
        <v>4</v>
      </c>
      <c r="O6" s="16" t="n">
        <v>25</v>
      </c>
    </row>
    <row r="7" customFormat="false" ht="15" hidden="false" customHeight="false" outlineLevel="0" collapsed="false">
      <c r="A7" s="15" t="n">
        <v>46230</v>
      </c>
      <c r="B7" s="16" t="n">
        <v>113</v>
      </c>
      <c r="C7" s="16" t="n">
        <v>115</v>
      </c>
      <c r="D7" s="16" t="n">
        <v>3100</v>
      </c>
      <c r="E7" s="16" t="n">
        <v>142</v>
      </c>
      <c r="F7" s="16" t="n">
        <v>33</v>
      </c>
      <c r="G7" s="16" t="n">
        <v>40</v>
      </c>
      <c r="H7" s="16" t="n">
        <v>180</v>
      </c>
      <c r="I7" s="16" t="n">
        <v>701</v>
      </c>
      <c r="J7" s="16" t="n">
        <v>54</v>
      </c>
      <c r="K7" s="16" t="n">
        <v>1366</v>
      </c>
      <c r="L7" s="16" t="n">
        <v>36</v>
      </c>
      <c r="M7" s="16" t="n">
        <v>54</v>
      </c>
      <c r="N7" s="16" t="n">
        <v>4</v>
      </c>
      <c r="O7" s="16" t="n">
        <v>27</v>
      </c>
    </row>
    <row r="8" customFormat="false" ht="15" hidden="false" customHeight="false" outlineLevel="0" collapsed="false">
      <c r="A8" s="15" t="n">
        <v>46231</v>
      </c>
      <c r="B8" s="16" t="n">
        <v>113</v>
      </c>
      <c r="C8" s="16" t="n">
        <v>117</v>
      </c>
      <c r="D8" s="16" t="n">
        <v>3200</v>
      </c>
      <c r="E8" s="16" t="n">
        <v>142</v>
      </c>
      <c r="F8" s="16" t="n">
        <v>33</v>
      </c>
      <c r="G8" s="16" t="n">
        <v>42</v>
      </c>
      <c r="H8" s="16" t="n">
        <v>180</v>
      </c>
      <c r="I8" s="16" t="n">
        <v>720</v>
      </c>
      <c r="J8" s="16" t="n">
        <v>54</v>
      </c>
      <c r="K8" s="16" t="n">
        <v>1295</v>
      </c>
      <c r="L8" s="16" t="n">
        <v>36</v>
      </c>
      <c r="M8" s="16" t="n">
        <v>53</v>
      </c>
      <c r="N8" s="16" t="n">
        <v>4</v>
      </c>
      <c r="O8" s="16" t="n">
        <v>27</v>
      </c>
    </row>
    <row r="9" customFormat="false" ht="15" hidden="false" customHeight="false" outlineLevel="0" collapsed="false">
      <c r="A9" s="15" t="n">
        <v>46232</v>
      </c>
      <c r="B9" s="16" t="n">
        <v>115</v>
      </c>
      <c r="C9" s="16" t="n">
        <v>113</v>
      </c>
      <c r="D9" s="16" t="n">
        <v>3200</v>
      </c>
      <c r="E9" s="16" t="n">
        <v>137</v>
      </c>
      <c r="F9" s="16" t="n">
        <v>33</v>
      </c>
      <c r="G9" s="16" t="n">
        <v>42</v>
      </c>
      <c r="H9" s="16" t="n">
        <v>180</v>
      </c>
      <c r="I9" s="16" t="n">
        <v>720</v>
      </c>
      <c r="J9" s="16" t="n">
        <v>54</v>
      </c>
      <c r="K9" s="16" t="n">
        <v>1287</v>
      </c>
      <c r="L9" s="16" t="n">
        <v>38</v>
      </c>
      <c r="M9" s="16" t="n">
        <v>54</v>
      </c>
      <c r="N9" s="16" t="n">
        <v>4</v>
      </c>
      <c r="O9" s="16" t="n">
        <v>27</v>
      </c>
    </row>
    <row r="10" customFormat="false" ht="15" hidden="false" customHeight="false" outlineLevel="0" collapsed="false">
      <c r="A10" s="15" t="n">
        <v>46233</v>
      </c>
      <c r="B10" s="16" t="n">
        <v>115</v>
      </c>
      <c r="C10" s="16" t="n">
        <v>127</v>
      </c>
      <c r="D10" s="16" t="n">
        <v>3440</v>
      </c>
      <c r="E10" s="16" t="n">
        <v>160</v>
      </c>
      <c r="F10" s="16" t="n">
        <v>33</v>
      </c>
      <c r="G10" s="16" t="n">
        <v>48</v>
      </c>
      <c r="H10" s="16" t="n">
        <v>187</v>
      </c>
      <c r="I10" s="16" t="n">
        <v>810</v>
      </c>
      <c r="J10" s="16" t="n">
        <v>55</v>
      </c>
      <c r="K10" s="16" t="n">
        <v>1306</v>
      </c>
      <c r="L10" s="16" t="n">
        <v>41</v>
      </c>
      <c r="M10" s="16" t="n">
        <v>57</v>
      </c>
      <c r="N10" s="16" t="n">
        <v>4</v>
      </c>
      <c r="O10" s="16" t="n">
        <v>27</v>
      </c>
    </row>
    <row r="11" customFormat="false" ht="15" hidden="false" customHeight="false" outlineLevel="0" collapsed="false">
      <c r="A11" s="15" t="n">
        <v>46234</v>
      </c>
      <c r="B11" s="16" t="n">
        <v>115</v>
      </c>
      <c r="C11" s="16" t="n">
        <v>130</v>
      </c>
      <c r="D11" s="16" t="n">
        <v>3635</v>
      </c>
      <c r="E11" s="16" t="n">
        <v>171</v>
      </c>
      <c r="F11" s="16" t="n">
        <v>33</v>
      </c>
      <c r="G11" s="16" t="n">
        <v>49</v>
      </c>
      <c r="H11" s="16" t="n">
        <v>192</v>
      </c>
      <c r="I11" s="16" t="n">
        <v>855</v>
      </c>
      <c r="J11" s="16" t="n">
        <v>55</v>
      </c>
      <c r="K11" s="16" t="n">
        <v>1351</v>
      </c>
      <c r="L11" s="16" t="n">
        <v>39</v>
      </c>
      <c r="M11" s="16" t="n">
        <v>56</v>
      </c>
      <c r="N11" s="16" t="n">
        <v>4</v>
      </c>
      <c r="O11" s="16" t="n">
        <v>28</v>
      </c>
    </row>
    <row r="12" customFormat="false" ht="15" hidden="false" customHeight="false" outlineLevel="0" collapsed="false">
      <c r="A12" s="15" t="n">
        <v>46237</v>
      </c>
      <c r="B12" s="16" t="n">
        <v>115</v>
      </c>
      <c r="C12" s="16" t="n">
        <v>125</v>
      </c>
      <c r="D12" s="16" t="n">
        <v>3628</v>
      </c>
      <c r="E12" s="16" t="n">
        <v>192</v>
      </c>
      <c r="F12" s="16" t="n">
        <v>44</v>
      </c>
      <c r="G12" s="16" t="n">
        <v>52</v>
      </c>
      <c r="H12" s="16" t="n">
        <v>192</v>
      </c>
      <c r="I12" s="16" t="n">
        <v>872</v>
      </c>
      <c r="J12" s="16" t="n">
        <v>55</v>
      </c>
      <c r="K12" s="16" t="n">
        <v>1437</v>
      </c>
      <c r="L12" s="16" t="n">
        <v>44</v>
      </c>
      <c r="M12" s="16" t="n">
        <v>52</v>
      </c>
      <c r="N12" s="16" t="n">
        <v>4</v>
      </c>
      <c r="O12" s="16" t="n">
        <v>28</v>
      </c>
    </row>
    <row r="13" customFormat="false" ht="15" hidden="false" customHeight="false" outlineLevel="0" collapsed="false">
      <c r="A13" s="15" t="n">
        <v>46238</v>
      </c>
      <c r="B13" s="16" t="n">
        <v>115</v>
      </c>
      <c r="C13" s="16" t="n">
        <v>123</v>
      </c>
      <c r="D13" s="16" t="n">
        <v>3675</v>
      </c>
      <c r="E13" s="16" t="n">
        <v>214</v>
      </c>
      <c r="F13" s="16" t="n">
        <v>44</v>
      </c>
      <c r="G13" s="16" t="n">
        <v>53</v>
      </c>
      <c r="H13" s="16" t="n">
        <v>192</v>
      </c>
      <c r="I13" s="16" t="n">
        <v>880</v>
      </c>
      <c r="J13" s="16" t="n">
        <v>55</v>
      </c>
      <c r="K13" s="16" t="n">
        <v>1456</v>
      </c>
      <c r="L13" s="16" t="n">
        <v>44</v>
      </c>
      <c r="M13" s="16" t="n">
        <v>52</v>
      </c>
      <c r="N13" s="16" t="n">
        <v>4</v>
      </c>
      <c r="O13" s="16" t="n">
        <v>28</v>
      </c>
    </row>
    <row r="14" customFormat="false" ht="15" hidden="false" customHeight="false" outlineLevel="0" collapsed="false">
      <c r="A14" s="15" t="n">
        <v>46239</v>
      </c>
      <c r="B14" s="16" t="n">
        <v>115</v>
      </c>
      <c r="C14" s="16" t="n">
        <v>147</v>
      </c>
      <c r="D14" s="16" t="n">
        <v>4189</v>
      </c>
      <c r="E14" s="16" t="n">
        <v>253</v>
      </c>
      <c r="F14" s="16" t="n">
        <v>44</v>
      </c>
      <c r="G14" s="16" t="n">
        <v>55</v>
      </c>
      <c r="H14" s="16" t="n">
        <v>194</v>
      </c>
      <c r="I14" s="16" t="n">
        <v>937</v>
      </c>
      <c r="J14" s="16" t="n">
        <v>57</v>
      </c>
      <c r="K14" s="16" t="n">
        <v>1509</v>
      </c>
      <c r="L14" s="16" t="n">
        <v>40</v>
      </c>
      <c r="M14" s="16" t="n">
        <v>54</v>
      </c>
      <c r="N14" s="16" t="n">
        <v>4</v>
      </c>
      <c r="O14" s="16" t="n">
        <v>28</v>
      </c>
    </row>
    <row r="15" customFormat="false" ht="15" hidden="false" customHeight="false" outlineLevel="0" collapsed="false">
      <c r="A15" s="15" t="n">
        <v>46240</v>
      </c>
      <c r="B15" s="16" t="n">
        <v>115</v>
      </c>
      <c r="C15" s="16" t="n">
        <v>157</v>
      </c>
      <c r="D15" s="16" t="n">
        <v>4438</v>
      </c>
      <c r="E15" s="16" t="n">
        <v>257</v>
      </c>
      <c r="F15" s="16" t="n">
        <v>44</v>
      </c>
      <c r="G15" s="16" t="n">
        <v>56</v>
      </c>
      <c r="H15" s="16" t="n">
        <v>194</v>
      </c>
      <c r="I15" s="16" t="n">
        <v>944</v>
      </c>
      <c r="J15" s="16" t="n">
        <v>58</v>
      </c>
      <c r="K15" s="16" t="n">
        <v>1692</v>
      </c>
      <c r="L15" s="16" t="n">
        <v>46</v>
      </c>
      <c r="M15" s="16" t="n">
        <v>58</v>
      </c>
      <c r="N15" s="16" t="n">
        <v>4</v>
      </c>
      <c r="O15" s="16" t="n">
        <v>28</v>
      </c>
    </row>
    <row r="16" customFormat="false" ht="15" hidden="false" customHeight="false" outlineLevel="0" collapsed="false">
      <c r="A16" s="15" t="n">
        <v>46241</v>
      </c>
      <c r="B16" s="16" t="n">
        <v>115</v>
      </c>
      <c r="C16" s="16" t="n">
        <v>155</v>
      </c>
      <c r="D16" s="16" t="n">
        <v>4503</v>
      </c>
      <c r="E16" s="16" t="n">
        <v>264</v>
      </c>
      <c r="F16" s="16" t="n">
        <v>44</v>
      </c>
      <c r="G16" s="16" t="n">
        <v>60</v>
      </c>
      <c r="H16" s="16" t="n">
        <v>194</v>
      </c>
      <c r="I16" s="16" t="n">
        <v>897</v>
      </c>
      <c r="J16" s="16" t="n">
        <v>58</v>
      </c>
      <c r="K16" s="16" t="n">
        <v>1692</v>
      </c>
      <c r="L16" s="16" t="n">
        <v>46</v>
      </c>
      <c r="M16" s="16" t="n">
        <v>60</v>
      </c>
      <c r="N16" s="16" t="n">
        <v>4</v>
      </c>
      <c r="O16" s="16" t="n">
        <v>28</v>
      </c>
    </row>
    <row r="17" customFormat="false" ht="15" hidden="false" customHeight="false" outlineLevel="0" collapsed="false">
      <c r="A17" s="15" t="n">
        <v>46244</v>
      </c>
      <c r="B17" s="16" t="n">
        <v>115</v>
      </c>
      <c r="C17" s="16" t="n">
        <v>168</v>
      </c>
      <c r="D17" s="16" t="n">
        <v>4777</v>
      </c>
      <c r="E17" s="16" t="n">
        <v>271</v>
      </c>
      <c r="F17" s="16" t="n">
        <v>44</v>
      </c>
      <c r="G17" s="16" t="n">
        <v>66</v>
      </c>
      <c r="H17" s="16" t="n">
        <v>196</v>
      </c>
      <c r="I17" s="16" t="n">
        <v>909</v>
      </c>
      <c r="J17" s="16" t="n">
        <v>58</v>
      </c>
      <c r="K17" s="16" t="n">
        <v>1680</v>
      </c>
      <c r="L17" s="16" t="n">
        <v>47</v>
      </c>
      <c r="M17" s="16" t="n">
        <v>65</v>
      </c>
      <c r="N17" s="16" t="n">
        <v>4</v>
      </c>
      <c r="O17" s="16" t="n">
        <v>28</v>
      </c>
    </row>
    <row r="18" customFormat="false" ht="15" hidden="false" customHeight="false" outlineLevel="0" collapsed="false">
      <c r="A18" s="15" t="n">
        <v>46245</v>
      </c>
      <c r="B18" s="16" t="n">
        <v>115</v>
      </c>
      <c r="C18" s="16" t="n">
        <v>170</v>
      </c>
      <c r="D18" s="16" t="n">
        <v>4827</v>
      </c>
      <c r="E18" s="16" t="n">
        <v>274</v>
      </c>
      <c r="F18" s="16" t="n">
        <v>44</v>
      </c>
      <c r="G18" s="16" t="n">
        <v>66</v>
      </c>
      <c r="H18" s="16" t="n">
        <v>196</v>
      </c>
      <c r="I18" s="16" t="n">
        <v>907</v>
      </c>
      <c r="J18" s="16" t="n">
        <v>58</v>
      </c>
      <c r="K18" s="16" t="n">
        <v>1678</v>
      </c>
      <c r="L18" s="16" t="n">
        <v>47</v>
      </c>
      <c r="M18" s="16" t="n">
        <v>64</v>
      </c>
      <c r="N18" s="16" t="n">
        <v>4</v>
      </c>
      <c r="O18" s="16" t="n">
        <v>28</v>
      </c>
    </row>
    <row r="19" customFormat="false" ht="15" hidden="false" customHeight="false" outlineLevel="0" collapsed="false">
      <c r="A19" s="15" t="n">
        <v>46246</v>
      </c>
      <c r="B19" s="16" t="n">
        <v>115</v>
      </c>
      <c r="C19" s="16" t="n">
        <v>172</v>
      </c>
      <c r="D19" s="16" t="n">
        <v>4998</v>
      </c>
      <c r="E19" s="16" t="n">
        <v>299</v>
      </c>
      <c r="F19" s="16" t="n">
        <v>44</v>
      </c>
      <c r="G19" s="16" t="n">
        <v>68</v>
      </c>
      <c r="H19" s="16" t="n">
        <v>196</v>
      </c>
      <c r="I19" s="16" t="n">
        <v>913</v>
      </c>
      <c r="J19" s="16" t="n">
        <v>58</v>
      </c>
      <c r="K19" s="16" t="n">
        <v>1715</v>
      </c>
      <c r="L19" s="16" t="n">
        <v>47</v>
      </c>
      <c r="M19" s="16" t="n">
        <v>64</v>
      </c>
      <c r="N19" s="16" t="n">
        <v>4</v>
      </c>
      <c r="O19" s="16" t="n">
        <v>27</v>
      </c>
    </row>
    <row r="20" customFormat="false" ht="15" hidden="false" customHeight="false" outlineLevel="0" collapsed="false">
      <c r="A20" s="15" t="n">
        <v>46247</v>
      </c>
      <c r="B20" s="16" t="n">
        <v>115</v>
      </c>
      <c r="C20" s="16" t="n">
        <v>186</v>
      </c>
      <c r="D20" s="16" t="n">
        <v>5320</v>
      </c>
      <c r="E20" s="16" t="n">
        <v>294</v>
      </c>
      <c r="F20" s="16" t="n">
        <v>44</v>
      </c>
      <c r="G20" s="16" t="n">
        <v>74</v>
      </c>
      <c r="H20" s="16" t="n">
        <v>272</v>
      </c>
      <c r="I20" s="16" t="n">
        <v>1012</v>
      </c>
      <c r="J20" s="16" t="n">
        <v>58</v>
      </c>
      <c r="K20" s="16" t="n">
        <v>1756</v>
      </c>
      <c r="L20" s="16" t="n">
        <v>47</v>
      </c>
      <c r="M20" s="16" t="n">
        <v>66</v>
      </c>
      <c r="N20" s="16" t="n">
        <v>4</v>
      </c>
      <c r="O20" s="16" t="n">
        <v>73</v>
      </c>
    </row>
    <row r="21" customFormat="false" ht="15" hidden="false" customHeight="false" outlineLevel="0" collapsed="false">
      <c r="A21" s="15" t="n">
        <v>46248</v>
      </c>
      <c r="B21" s="16" t="n">
        <v>115</v>
      </c>
      <c r="C21" s="16" t="n">
        <v>168</v>
      </c>
      <c r="D21" s="16" t="n">
        <v>5078</v>
      </c>
      <c r="E21" s="16" t="n">
        <v>278</v>
      </c>
      <c r="F21" s="16" t="n">
        <v>45</v>
      </c>
      <c r="G21" s="16" t="n">
        <v>65</v>
      </c>
      <c r="H21" s="16" t="n">
        <v>292</v>
      </c>
      <c r="I21" s="16" t="n">
        <v>991</v>
      </c>
      <c r="J21" s="16" t="n">
        <v>58</v>
      </c>
      <c r="K21" s="16" t="n">
        <v>1755</v>
      </c>
      <c r="L21" s="16" t="n">
        <v>47</v>
      </c>
      <c r="M21" s="16" t="n">
        <v>71</v>
      </c>
      <c r="N21" s="16" t="n">
        <v>4</v>
      </c>
      <c r="O21" s="16" t="n">
        <v>74</v>
      </c>
    </row>
    <row r="22" customFormat="false" ht="15" hidden="false" customHeight="false" outlineLevel="0" collapsed="false">
      <c r="A22" s="15" t="n">
        <v>46251</v>
      </c>
      <c r="B22" s="16" t="n">
        <v>115</v>
      </c>
      <c r="C22" s="16" t="n">
        <v>164</v>
      </c>
      <c r="D22" s="16" t="n">
        <v>4950</v>
      </c>
      <c r="E22" s="16" t="n">
        <v>284</v>
      </c>
      <c r="F22" s="16" t="n">
        <v>45</v>
      </c>
      <c r="G22" s="16" t="n">
        <v>63</v>
      </c>
      <c r="H22" s="16" t="n">
        <v>280</v>
      </c>
      <c r="I22" s="16" t="n">
        <v>951</v>
      </c>
      <c r="J22" s="16" t="n">
        <v>58</v>
      </c>
      <c r="K22" s="16" t="n">
        <v>1667</v>
      </c>
      <c r="L22" s="16" t="n">
        <v>34</v>
      </c>
      <c r="M22" s="16" t="n">
        <v>66</v>
      </c>
      <c r="N22" s="16" t="n">
        <v>4</v>
      </c>
      <c r="O22" s="16" t="n">
        <v>73</v>
      </c>
    </row>
    <row r="23" customFormat="false" ht="15" hidden="false" customHeight="false" outlineLevel="0" collapsed="false">
      <c r="A23" s="15" t="n">
        <v>46252</v>
      </c>
      <c r="B23" s="16" t="n">
        <v>115</v>
      </c>
      <c r="C23" s="16" t="n">
        <v>160</v>
      </c>
      <c r="D23" s="16" t="n">
        <v>4865</v>
      </c>
      <c r="E23" s="16" t="n">
        <v>265</v>
      </c>
      <c r="F23" s="16" t="n">
        <v>45</v>
      </c>
      <c r="G23" s="16" t="n">
        <v>60</v>
      </c>
      <c r="H23" s="16" t="n">
        <v>281</v>
      </c>
      <c r="I23" s="16" t="n">
        <v>940</v>
      </c>
      <c r="J23" s="16" t="n">
        <v>80</v>
      </c>
      <c r="K23" s="16" t="n">
        <v>1538</v>
      </c>
      <c r="L23" s="16" t="n">
        <v>31</v>
      </c>
      <c r="M23" s="16" t="n">
        <v>61</v>
      </c>
      <c r="N23" s="16" t="n">
        <v>4</v>
      </c>
      <c r="O23" s="16" t="n">
        <v>72</v>
      </c>
    </row>
    <row r="24" customFormat="false" ht="15" hidden="false" customHeight="false" outlineLevel="0" collapsed="false">
      <c r="A24" s="15" t="n">
        <v>46253</v>
      </c>
      <c r="B24" s="16" t="n">
        <v>115</v>
      </c>
      <c r="C24" s="16" t="n">
        <v>159</v>
      </c>
      <c r="D24" s="16" t="n">
        <v>4886</v>
      </c>
      <c r="E24" s="16" t="n">
        <v>261</v>
      </c>
      <c r="F24" s="16" t="n">
        <v>45</v>
      </c>
      <c r="G24" s="16" t="n">
        <v>60</v>
      </c>
      <c r="H24" s="16" t="n">
        <v>281</v>
      </c>
      <c r="I24" s="16" t="n">
        <v>940</v>
      </c>
      <c r="J24" s="16" t="n">
        <v>101</v>
      </c>
      <c r="K24" s="16" t="n">
        <v>1630</v>
      </c>
      <c r="L24" s="16" t="n">
        <v>79</v>
      </c>
      <c r="M24" s="16" t="n">
        <v>62</v>
      </c>
      <c r="N24" s="16" t="n">
        <v>4</v>
      </c>
      <c r="O24" s="16" t="n">
        <v>75</v>
      </c>
    </row>
    <row r="25" customFormat="false" ht="15" hidden="false" customHeight="false" outlineLevel="0" collapsed="false">
      <c r="A25" s="15" t="n">
        <v>46254</v>
      </c>
      <c r="B25" s="16" t="n">
        <v>115</v>
      </c>
      <c r="C25" s="16" t="n">
        <v>161</v>
      </c>
      <c r="D25" s="16" t="n">
        <v>4987</v>
      </c>
      <c r="E25" s="16" t="n">
        <v>268</v>
      </c>
      <c r="F25" s="16" t="n">
        <v>46</v>
      </c>
      <c r="G25" s="16" t="n">
        <v>61</v>
      </c>
      <c r="H25" s="16" t="n">
        <v>213</v>
      </c>
      <c r="I25" s="16" t="n">
        <v>814</v>
      </c>
      <c r="J25" s="16" t="n">
        <v>101</v>
      </c>
      <c r="K25" s="16" t="n">
        <v>1708</v>
      </c>
      <c r="L25" s="16" t="n">
        <v>106</v>
      </c>
      <c r="M25" s="16" t="n">
        <v>62</v>
      </c>
      <c r="N25" s="16" t="n">
        <v>4</v>
      </c>
      <c r="O25" s="16" t="n">
        <v>59</v>
      </c>
    </row>
    <row r="26" customFormat="false" ht="15" hidden="false" customHeight="false" outlineLevel="0" collapsed="false">
      <c r="A26" s="15" t="n">
        <v>46255</v>
      </c>
      <c r="B26" s="16" t="n">
        <v>115</v>
      </c>
      <c r="C26" s="16" t="n">
        <v>170</v>
      </c>
      <c r="D26" s="16" t="n">
        <v>4978</v>
      </c>
      <c r="E26" s="16" t="n">
        <v>261</v>
      </c>
      <c r="F26" s="16" t="n">
        <v>46</v>
      </c>
      <c r="G26" s="16" t="n">
        <v>74</v>
      </c>
      <c r="H26" s="16" t="n">
        <v>317</v>
      </c>
      <c r="I26" s="16" t="n">
        <v>925</v>
      </c>
      <c r="J26" s="16" t="n">
        <v>101</v>
      </c>
      <c r="K26" s="16" t="n">
        <v>1708</v>
      </c>
      <c r="L26" s="16" t="n">
        <v>106</v>
      </c>
      <c r="M26" s="16" t="n">
        <v>62</v>
      </c>
      <c r="N26" s="16" t="n">
        <v>4</v>
      </c>
      <c r="O26" s="16" t="n">
        <v>60</v>
      </c>
    </row>
    <row r="27" customFormat="false" ht="15" hidden="false" customHeight="false" outlineLevel="0" collapsed="false">
      <c r="A27" s="15" t="n">
        <v>46258</v>
      </c>
      <c r="B27" s="16" t="n">
        <v>115</v>
      </c>
      <c r="C27" s="16" t="n">
        <v>162</v>
      </c>
      <c r="D27" s="16" t="n">
        <v>4898</v>
      </c>
      <c r="E27" s="16" t="n">
        <v>274</v>
      </c>
      <c r="F27" s="16" t="n">
        <v>46</v>
      </c>
      <c r="G27" s="16" t="n">
        <v>72</v>
      </c>
      <c r="H27" s="16" t="n">
        <v>281</v>
      </c>
      <c r="I27" s="16" t="n">
        <v>887</v>
      </c>
      <c r="J27" s="16" t="n">
        <v>100</v>
      </c>
      <c r="K27" s="16" t="n">
        <v>1660</v>
      </c>
      <c r="L27" s="16" t="n">
        <v>120</v>
      </c>
      <c r="M27" s="16" t="n">
        <v>60</v>
      </c>
      <c r="N27" s="16" t="n">
        <v>4</v>
      </c>
      <c r="O27" s="16" t="n">
        <v>55</v>
      </c>
    </row>
    <row r="28" customFormat="false" ht="15" hidden="false" customHeight="false" outlineLevel="0" collapsed="false">
      <c r="A28" s="15" t="n">
        <v>46259</v>
      </c>
      <c r="B28" s="16" t="n">
        <v>115</v>
      </c>
      <c r="C28" s="16" t="n">
        <v>183</v>
      </c>
      <c r="D28" s="16" t="n">
        <v>4981</v>
      </c>
      <c r="E28" s="16" t="n">
        <v>278</v>
      </c>
      <c r="F28" s="16" t="n">
        <v>46</v>
      </c>
      <c r="G28" s="16" t="n">
        <v>71</v>
      </c>
      <c r="H28" s="16" t="n">
        <v>291</v>
      </c>
      <c r="I28" s="16" t="n">
        <v>888</v>
      </c>
      <c r="J28" s="16" t="n">
        <v>100</v>
      </c>
      <c r="K28" s="16" t="n">
        <v>1660</v>
      </c>
      <c r="L28" s="16" t="n">
        <v>120</v>
      </c>
      <c r="M28" s="16" t="n">
        <v>60</v>
      </c>
      <c r="N28" s="16" t="n">
        <v>4</v>
      </c>
      <c r="O28" s="16" t="n">
        <v>56</v>
      </c>
    </row>
    <row r="29" customFormat="false" ht="15" hidden="false" customHeight="false" outlineLevel="0" collapsed="false">
      <c r="A29" s="15" t="n">
        <v>46260</v>
      </c>
      <c r="B29" s="16" t="n">
        <v>115</v>
      </c>
      <c r="C29" s="16" t="n">
        <v>187</v>
      </c>
      <c r="D29" s="16" t="n">
        <v>4939</v>
      </c>
      <c r="E29" s="16" t="n">
        <v>281</v>
      </c>
      <c r="F29" s="16" t="n">
        <v>46</v>
      </c>
      <c r="G29" s="16" t="n">
        <v>74</v>
      </c>
      <c r="H29" s="16" t="n">
        <v>299</v>
      </c>
      <c r="I29" s="16" t="n">
        <v>894</v>
      </c>
      <c r="J29" s="16" t="n">
        <v>100</v>
      </c>
      <c r="K29" s="16" t="n">
        <v>1597</v>
      </c>
      <c r="L29" s="16" t="n">
        <v>123</v>
      </c>
      <c r="M29" s="16" t="n">
        <v>55</v>
      </c>
      <c r="N29" s="16" t="n">
        <v>4</v>
      </c>
      <c r="O29" s="16" t="n">
        <v>60</v>
      </c>
    </row>
    <row r="30" customFormat="false" ht="15" hidden="false" customHeight="false" outlineLevel="0" collapsed="false">
      <c r="A30" s="15" t="n">
        <v>46261</v>
      </c>
      <c r="B30" s="16" t="n">
        <v>115</v>
      </c>
      <c r="C30" s="16" t="n">
        <v>182</v>
      </c>
      <c r="D30" s="16" t="n">
        <v>4767</v>
      </c>
      <c r="E30" s="16" t="n">
        <v>251</v>
      </c>
      <c r="F30" s="16" t="n">
        <v>46</v>
      </c>
      <c r="G30" s="16" t="n">
        <v>70</v>
      </c>
      <c r="H30" s="16" t="n">
        <v>283</v>
      </c>
      <c r="I30" s="16" t="n">
        <v>860</v>
      </c>
      <c r="J30" s="16" t="n">
        <v>100</v>
      </c>
      <c r="K30" s="16" t="n">
        <v>1689</v>
      </c>
      <c r="L30" s="16" t="n">
        <v>127</v>
      </c>
      <c r="M30" s="16" t="n">
        <v>77</v>
      </c>
      <c r="N30" s="16" t="n">
        <v>4</v>
      </c>
      <c r="O30" s="16" t="n">
        <v>59</v>
      </c>
    </row>
    <row r="31" customFormat="false" ht="15" hidden="false" customHeight="false" outlineLevel="0" collapsed="false">
      <c r="A31" s="15" t="n">
        <v>46262</v>
      </c>
      <c r="B31" s="16" t="n">
        <v>115</v>
      </c>
      <c r="C31" s="16" t="n">
        <v>186</v>
      </c>
      <c r="D31" s="16" t="n">
        <v>4684</v>
      </c>
      <c r="E31" s="16" t="n">
        <v>238</v>
      </c>
      <c r="F31" s="16" t="n">
        <v>47</v>
      </c>
      <c r="G31" s="16" t="n">
        <v>69</v>
      </c>
      <c r="H31" s="16" t="n">
        <v>275</v>
      </c>
      <c r="I31" s="16" t="n">
        <v>919</v>
      </c>
      <c r="J31" s="16" t="n">
        <v>100</v>
      </c>
      <c r="K31" s="16" t="n">
        <v>1709</v>
      </c>
      <c r="L31" s="16" t="n">
        <v>128</v>
      </c>
      <c r="M31" s="16" t="n">
        <v>81</v>
      </c>
      <c r="N31" s="16" t="n">
        <v>4</v>
      </c>
      <c r="O31" s="16" t="n">
        <v>58</v>
      </c>
    </row>
    <row r="32" customFormat="false" ht="15" hidden="false" customHeight="false" outlineLevel="0" collapsed="false">
      <c r="A32" s="15" t="n">
        <v>46263</v>
      </c>
      <c r="B32" s="16" t="n">
        <v>115</v>
      </c>
      <c r="C32" s="16" t="n">
        <v>184</v>
      </c>
      <c r="D32" s="16" t="n">
        <v>4735</v>
      </c>
      <c r="E32" s="16" t="n">
        <v>280</v>
      </c>
      <c r="F32" s="16" t="n">
        <v>47</v>
      </c>
      <c r="G32" s="16" t="n">
        <v>68</v>
      </c>
      <c r="H32" s="16" t="n">
        <v>275</v>
      </c>
      <c r="I32" s="16" t="n">
        <v>1039</v>
      </c>
      <c r="J32" s="16" t="n">
        <v>100</v>
      </c>
      <c r="K32" s="16" t="n">
        <v>1691</v>
      </c>
      <c r="L32" s="16" t="n">
        <v>127</v>
      </c>
      <c r="M32" s="16" t="n">
        <v>86</v>
      </c>
      <c r="N32" s="16" t="n">
        <v>4</v>
      </c>
      <c r="O32" s="16" t="n">
        <v>59</v>
      </c>
    </row>
    <row r="33" customFormat="false" ht="15" hidden="false" customHeight="false" outlineLevel="0" collapsed="false">
      <c r="A33" s="15" t="n">
        <v>46268</v>
      </c>
      <c r="B33" s="16" t="n">
        <v>115</v>
      </c>
      <c r="C33" s="16" t="n">
        <v>172</v>
      </c>
      <c r="D33" s="16" t="n">
        <v>4194</v>
      </c>
      <c r="E33" s="16" t="n">
        <v>245</v>
      </c>
      <c r="F33" s="16" t="n">
        <v>47</v>
      </c>
      <c r="G33" s="16" t="n">
        <v>64</v>
      </c>
      <c r="H33" s="16" t="n">
        <v>273</v>
      </c>
      <c r="I33" s="16" t="n">
        <v>1104</v>
      </c>
      <c r="J33" s="16" t="n">
        <v>100</v>
      </c>
      <c r="K33" s="16" t="n">
        <v>1537</v>
      </c>
      <c r="L33" s="16" t="n">
        <v>116</v>
      </c>
      <c r="M33" s="16" t="n">
        <v>96</v>
      </c>
      <c r="N33" s="16" t="n">
        <v>4</v>
      </c>
      <c r="O33" s="16" t="n">
        <v>59</v>
      </c>
    </row>
    <row r="34" customFormat="false" ht="15" hidden="false" customHeight="false" outlineLevel="0" collapsed="false">
      <c r="A34" s="15" t="n">
        <v>46269</v>
      </c>
      <c r="B34" s="16" t="n">
        <v>115</v>
      </c>
      <c r="C34" s="16" t="n">
        <v>174</v>
      </c>
      <c r="D34" s="16" t="n">
        <v>4229</v>
      </c>
      <c r="E34" s="16" t="n">
        <v>260</v>
      </c>
      <c r="F34" s="16" t="n">
        <v>47</v>
      </c>
      <c r="G34" s="16" t="n">
        <v>60</v>
      </c>
      <c r="H34" s="16" t="n">
        <v>273</v>
      </c>
      <c r="I34" s="16" t="n">
        <v>1118</v>
      </c>
      <c r="J34" s="16" t="n">
        <v>100</v>
      </c>
      <c r="K34" s="16" t="n">
        <v>1485</v>
      </c>
      <c r="L34" s="16" t="n">
        <v>116</v>
      </c>
      <c r="M34" s="16" t="n">
        <v>94</v>
      </c>
      <c r="N34" s="16" t="n">
        <v>4</v>
      </c>
      <c r="O34" s="16" t="n">
        <v>60</v>
      </c>
    </row>
    <row r="35" customFormat="false" ht="15" hidden="false" customHeight="false" outlineLevel="0" collapsed="false">
      <c r="A35" s="15" t="n">
        <v>46272</v>
      </c>
      <c r="B35" s="16" t="n">
        <v>115</v>
      </c>
      <c r="C35" s="16" t="n">
        <v>159</v>
      </c>
      <c r="D35" s="16" t="n">
        <v>4157</v>
      </c>
      <c r="E35" s="16" t="n">
        <v>256</v>
      </c>
      <c r="F35" s="16" t="n">
        <v>47</v>
      </c>
      <c r="G35" s="16" t="n">
        <v>57</v>
      </c>
      <c r="H35" s="16" t="n">
        <v>273</v>
      </c>
      <c r="I35" s="16" t="n">
        <v>1181</v>
      </c>
      <c r="J35" s="16" t="n">
        <v>100</v>
      </c>
      <c r="K35" s="16" t="n">
        <v>1262</v>
      </c>
      <c r="L35" s="16" t="n">
        <v>112</v>
      </c>
      <c r="M35" s="16" t="n">
        <v>90</v>
      </c>
      <c r="N35" s="16" t="n">
        <v>4</v>
      </c>
      <c r="O35" s="16" t="n">
        <v>60</v>
      </c>
    </row>
    <row r="36" customFormat="false" ht="15" hidden="false" customHeight="false" outlineLevel="0" collapsed="false">
      <c r="A36" s="15" t="n">
        <v>46273</v>
      </c>
      <c r="B36" s="16" t="n">
        <v>115</v>
      </c>
      <c r="C36" s="16" t="n">
        <v>157</v>
      </c>
      <c r="D36" s="16" t="n">
        <v>4163</v>
      </c>
      <c r="E36" s="16" t="n">
        <v>289</v>
      </c>
      <c r="F36" s="16" t="n">
        <v>48</v>
      </c>
      <c r="G36" s="16" t="n">
        <v>57</v>
      </c>
      <c r="H36" s="16" t="n">
        <v>273</v>
      </c>
      <c r="I36" s="16" t="n">
        <v>1205</v>
      </c>
      <c r="J36" s="16" t="n">
        <v>99</v>
      </c>
      <c r="K36" s="16" t="n">
        <v>1215</v>
      </c>
      <c r="L36" s="16" t="n">
        <v>112</v>
      </c>
      <c r="M36" s="16" t="n">
        <v>86</v>
      </c>
      <c r="N36" s="16" t="n">
        <v>4</v>
      </c>
      <c r="O36" s="16" t="n">
        <v>60</v>
      </c>
    </row>
    <row r="37" customFormat="false" ht="15" hidden="false" customHeight="false" outlineLevel="0" collapsed="false">
      <c r="A37" s="15" t="n">
        <v>46274</v>
      </c>
      <c r="B37" s="16" t="n">
        <v>115</v>
      </c>
      <c r="C37" s="16" t="n">
        <v>157</v>
      </c>
      <c r="D37" s="16" t="n">
        <v>3951</v>
      </c>
      <c r="E37" s="16" t="n">
        <v>284</v>
      </c>
      <c r="F37" s="16" t="n">
        <v>48</v>
      </c>
      <c r="G37" s="16" t="n">
        <v>55</v>
      </c>
      <c r="H37" s="16" t="n">
        <v>273</v>
      </c>
      <c r="I37" s="16" t="n">
        <v>1234</v>
      </c>
      <c r="J37" s="16" t="n">
        <v>100</v>
      </c>
      <c r="K37" s="16" t="n">
        <v>1221</v>
      </c>
      <c r="L37" s="16" t="n">
        <v>113</v>
      </c>
      <c r="M37" s="16" t="n">
        <v>85</v>
      </c>
      <c r="N37" s="16" t="n">
        <v>4</v>
      </c>
      <c r="O37" s="16" t="n">
        <v>61</v>
      </c>
    </row>
    <row r="38" customFormat="false" ht="15" hidden="false" customHeight="false" outlineLevel="0" collapsed="false">
      <c r="A38" s="15" t="n">
        <v>46275</v>
      </c>
      <c r="B38" s="16" t="n">
        <v>116</v>
      </c>
      <c r="C38" s="16" t="n">
        <v>149</v>
      </c>
      <c r="D38" s="16" t="n">
        <v>3788</v>
      </c>
      <c r="E38" s="16" t="n">
        <v>312</v>
      </c>
      <c r="F38" s="16" t="n">
        <v>48</v>
      </c>
      <c r="G38" s="16" t="n">
        <v>49</v>
      </c>
      <c r="H38" s="16" t="n">
        <v>195</v>
      </c>
      <c r="I38" s="16" t="n">
        <v>1211</v>
      </c>
      <c r="J38" s="16" t="n">
        <v>101</v>
      </c>
      <c r="K38" s="16" t="n">
        <v>1226</v>
      </c>
      <c r="L38" s="16" t="n">
        <v>112</v>
      </c>
      <c r="M38" s="16" t="n">
        <v>87</v>
      </c>
      <c r="N38" s="16" t="n">
        <v>4</v>
      </c>
      <c r="O38" s="16" t="n">
        <v>288</v>
      </c>
    </row>
    <row r="39" customFormat="false" ht="15" hidden="false" customHeight="false" outlineLevel="0" collapsed="false">
      <c r="A39" s="15" t="n">
        <v>46276</v>
      </c>
      <c r="B39" s="16" t="n">
        <v>116</v>
      </c>
      <c r="C39" s="16" t="n">
        <v>155</v>
      </c>
      <c r="D39" s="16" t="n">
        <v>4284</v>
      </c>
      <c r="E39" s="16" t="n">
        <v>319</v>
      </c>
      <c r="F39" s="16" t="n">
        <v>48</v>
      </c>
      <c r="G39" s="16" t="n">
        <v>48</v>
      </c>
      <c r="H39" s="16" t="n">
        <v>181</v>
      </c>
      <c r="I39" s="16" t="n">
        <v>1619</v>
      </c>
      <c r="J39" s="16" t="n">
        <v>101</v>
      </c>
      <c r="K39" s="16" t="n">
        <v>1226</v>
      </c>
      <c r="L39" s="16" t="n">
        <v>112</v>
      </c>
      <c r="M39" s="16" t="n">
        <v>87</v>
      </c>
      <c r="N39" s="16" t="n">
        <v>4</v>
      </c>
      <c r="O39" s="16" t="n">
        <v>407</v>
      </c>
    </row>
    <row r="40" customFormat="false" ht="15" hidden="false" customHeight="false" outlineLevel="0" collapsed="false">
      <c r="A40" s="15" t="n">
        <v>46279</v>
      </c>
      <c r="B40" s="16" t="n">
        <v>116</v>
      </c>
      <c r="C40" s="16" t="n">
        <v>153</v>
      </c>
      <c r="D40" s="16" t="n">
        <v>4394</v>
      </c>
      <c r="E40" s="16" t="n">
        <v>322</v>
      </c>
      <c r="F40" s="16" t="n">
        <v>48</v>
      </c>
      <c r="G40" s="16" t="n">
        <v>45</v>
      </c>
      <c r="H40" s="16" t="n">
        <v>178</v>
      </c>
      <c r="I40" s="16" t="n">
        <v>1849</v>
      </c>
      <c r="J40" s="16" t="n">
        <v>101</v>
      </c>
      <c r="K40" s="16" t="n">
        <v>1446</v>
      </c>
      <c r="L40" s="16" t="n">
        <v>113</v>
      </c>
      <c r="M40" s="16" t="n">
        <v>82</v>
      </c>
      <c r="N40" s="16" t="n">
        <v>4</v>
      </c>
      <c r="O40" s="16" t="n">
        <v>409</v>
      </c>
    </row>
    <row r="41" customFormat="false" ht="15" hidden="false" customHeight="false" outlineLevel="0" collapsed="false">
      <c r="A41" s="15" t="n">
        <v>46280</v>
      </c>
      <c r="B41" s="16" t="n">
        <v>116</v>
      </c>
      <c r="C41" s="16" t="n">
        <v>152</v>
      </c>
      <c r="D41" s="16" t="n">
        <v>4391</v>
      </c>
      <c r="E41" s="16" t="n">
        <v>334</v>
      </c>
      <c r="F41" s="16" t="n">
        <v>48</v>
      </c>
      <c r="G41" s="16" t="n">
        <v>45</v>
      </c>
      <c r="H41" s="16" t="n">
        <v>177</v>
      </c>
      <c r="I41" s="16" t="n">
        <v>1883</v>
      </c>
      <c r="J41" s="16" t="n">
        <v>101</v>
      </c>
      <c r="K41" s="16" t="n">
        <v>1442</v>
      </c>
      <c r="L41" s="16" t="n">
        <v>112</v>
      </c>
      <c r="M41" s="16" t="n">
        <v>85</v>
      </c>
      <c r="N41" s="16" t="n">
        <v>4</v>
      </c>
      <c r="O41" s="16" t="n">
        <v>413</v>
      </c>
    </row>
    <row r="42" customFormat="false" ht="15" hidden="false" customHeight="false" outlineLevel="0" collapsed="false">
      <c r="A42" s="15" t="n">
        <v>46281</v>
      </c>
      <c r="B42" s="16" t="n">
        <v>116</v>
      </c>
      <c r="C42" s="16" t="n">
        <v>157</v>
      </c>
      <c r="D42" s="16" t="n">
        <v>4487</v>
      </c>
      <c r="E42" s="16" t="n">
        <v>335</v>
      </c>
      <c r="F42" s="16" t="n">
        <v>48</v>
      </c>
      <c r="G42" s="16" t="n">
        <v>43</v>
      </c>
      <c r="H42" s="16" t="n">
        <v>177</v>
      </c>
      <c r="I42" s="16" t="n">
        <v>2052</v>
      </c>
      <c r="J42" s="16" t="n">
        <v>101</v>
      </c>
      <c r="K42" s="16" t="n">
        <v>1466</v>
      </c>
      <c r="L42" s="16" t="n">
        <v>113</v>
      </c>
      <c r="M42" s="16" t="n">
        <v>86</v>
      </c>
      <c r="N42" s="16" t="n">
        <v>4</v>
      </c>
      <c r="O42" s="16" t="n">
        <v>409</v>
      </c>
    </row>
    <row r="43" customFormat="false" ht="15" hidden="false" customHeight="false" outlineLevel="0" collapsed="false">
      <c r="A43" s="15" t="n">
        <v>46282</v>
      </c>
      <c r="B43" s="16" t="n">
        <v>116</v>
      </c>
      <c r="C43" s="16" t="n">
        <v>153</v>
      </c>
      <c r="D43" s="16" t="n">
        <v>4436</v>
      </c>
      <c r="E43" s="16" t="n">
        <v>390</v>
      </c>
      <c r="F43" s="16" t="n">
        <v>48</v>
      </c>
      <c r="G43" s="16" t="n">
        <v>42</v>
      </c>
      <c r="H43" s="16" t="n">
        <v>211</v>
      </c>
      <c r="I43" s="16" t="n">
        <v>2316</v>
      </c>
      <c r="J43" s="16" t="n">
        <v>101</v>
      </c>
      <c r="K43" s="16" t="n">
        <v>1466</v>
      </c>
      <c r="L43" s="16" t="n">
        <v>113</v>
      </c>
      <c r="M43" s="16" t="n">
        <v>86</v>
      </c>
      <c r="N43" s="16" t="n">
        <v>4</v>
      </c>
      <c r="O43" s="16" t="n">
        <v>531</v>
      </c>
    </row>
    <row r="44" customFormat="false" ht="15" hidden="false" customHeight="false" outlineLevel="0" collapsed="false">
      <c r="A44" s="15" t="n">
        <v>46283</v>
      </c>
      <c r="B44" s="16" t="n">
        <v>116</v>
      </c>
      <c r="C44" s="16" t="n">
        <v>153</v>
      </c>
      <c r="D44" s="16" t="n">
        <v>4353</v>
      </c>
      <c r="E44" s="16" t="n">
        <v>400</v>
      </c>
      <c r="F44" s="16" t="n">
        <v>49</v>
      </c>
      <c r="G44" s="16" t="n">
        <v>26</v>
      </c>
      <c r="H44" s="16" t="n">
        <v>94</v>
      </c>
      <c r="I44" s="16" t="n">
        <v>2258</v>
      </c>
      <c r="J44" s="16" t="n">
        <v>101</v>
      </c>
      <c r="K44" s="16" t="n">
        <v>1524</v>
      </c>
      <c r="L44" s="16" t="n">
        <v>119</v>
      </c>
      <c r="M44" s="16" t="n">
        <v>86</v>
      </c>
      <c r="N44" s="16" t="n">
        <v>4</v>
      </c>
      <c r="O44" s="16" t="n">
        <v>526</v>
      </c>
    </row>
    <row r="45" customFormat="false" ht="15" hidden="false" customHeight="false" outlineLevel="0" collapsed="false">
      <c r="A45" s="15" t="n">
        <v>46284</v>
      </c>
      <c r="B45" s="16" t="n">
        <v>116</v>
      </c>
      <c r="C45" s="16" t="n">
        <v>157</v>
      </c>
      <c r="D45" s="16" t="n">
        <v>4358</v>
      </c>
      <c r="E45" s="16" t="n">
        <v>394</v>
      </c>
      <c r="F45" s="16" t="n">
        <v>49</v>
      </c>
      <c r="G45" s="16" t="n">
        <v>18</v>
      </c>
      <c r="H45" s="16" t="n">
        <v>86</v>
      </c>
      <c r="I45" s="16" t="n">
        <v>2223</v>
      </c>
      <c r="J45" s="16" t="n">
        <v>102</v>
      </c>
      <c r="K45" s="16" t="n">
        <v>1404</v>
      </c>
      <c r="L45" s="16" t="n">
        <v>47</v>
      </c>
      <c r="M45" s="16" t="n">
        <v>85</v>
      </c>
      <c r="N45" s="16" t="n">
        <v>4</v>
      </c>
      <c r="O45" s="16" t="n">
        <v>525</v>
      </c>
    </row>
    <row r="46" customFormat="false" ht="15" hidden="false" customHeight="false" outlineLevel="0" collapsed="false">
      <c r="A46" s="15" t="n">
        <v>46286</v>
      </c>
      <c r="B46" s="16" t="n">
        <v>116</v>
      </c>
      <c r="C46" s="16" t="n">
        <v>162</v>
      </c>
      <c r="D46" s="16" t="n">
        <v>4564</v>
      </c>
      <c r="E46" s="16" t="n">
        <v>443</v>
      </c>
      <c r="F46" s="16" t="n">
        <v>49</v>
      </c>
      <c r="G46" s="16" t="n">
        <v>18</v>
      </c>
      <c r="H46" s="16" t="n">
        <v>105</v>
      </c>
      <c r="I46" s="16" t="n">
        <v>2497</v>
      </c>
      <c r="J46" s="16" t="n">
        <v>102</v>
      </c>
      <c r="K46" s="16" t="n">
        <v>1350</v>
      </c>
      <c r="L46" s="16" t="n">
        <v>39</v>
      </c>
      <c r="M46" s="16" t="n">
        <v>73</v>
      </c>
      <c r="N46" s="16" t="n">
        <v>4</v>
      </c>
      <c r="O46" s="16" t="n">
        <v>662</v>
      </c>
    </row>
    <row r="47" customFormat="false" ht="15" hidden="false" customHeight="false" outlineLevel="0" collapsed="false">
      <c r="A47" s="15" t="n">
        <v>46287</v>
      </c>
      <c r="B47" s="16" t="n">
        <v>116</v>
      </c>
      <c r="C47" s="16" t="n">
        <v>139</v>
      </c>
      <c r="D47" s="16" t="n">
        <v>4420</v>
      </c>
      <c r="E47" s="16" t="n">
        <v>445</v>
      </c>
      <c r="F47" s="16" t="n">
        <v>49</v>
      </c>
      <c r="G47" s="16" t="n">
        <v>17</v>
      </c>
      <c r="H47" s="16" t="n">
        <v>96</v>
      </c>
      <c r="I47" s="16" t="n">
        <v>2483</v>
      </c>
      <c r="J47" s="16" t="n">
        <v>102</v>
      </c>
      <c r="K47" s="16" t="n">
        <v>1336</v>
      </c>
      <c r="L47" s="16" t="n">
        <v>39</v>
      </c>
      <c r="M47" s="16" t="n">
        <v>76</v>
      </c>
      <c r="N47" s="16" t="n">
        <v>4</v>
      </c>
      <c r="O47" s="16" t="n">
        <v>646</v>
      </c>
    </row>
    <row r="48" customFormat="false" ht="15" hidden="false" customHeight="false" outlineLevel="0" collapsed="false">
      <c r="A48" s="15" t="n">
        <v>46288</v>
      </c>
      <c r="B48" s="16" t="n">
        <v>116</v>
      </c>
      <c r="C48" s="16" t="n">
        <v>141</v>
      </c>
      <c r="D48" s="16" t="n">
        <v>4537</v>
      </c>
      <c r="E48" s="16" t="n">
        <v>454</v>
      </c>
      <c r="F48" s="16" t="n">
        <v>49</v>
      </c>
      <c r="G48" s="16" t="n">
        <v>14</v>
      </c>
      <c r="H48" s="16" t="n">
        <v>87</v>
      </c>
      <c r="I48" s="16" t="n">
        <v>2520</v>
      </c>
      <c r="J48" s="16" t="n">
        <v>102</v>
      </c>
      <c r="K48" s="16" t="n">
        <v>1317</v>
      </c>
      <c r="L48" s="16" t="n">
        <v>39</v>
      </c>
      <c r="M48" s="16" t="n">
        <v>60</v>
      </c>
      <c r="N48" s="16" t="n">
        <v>4</v>
      </c>
      <c r="O48" s="16" t="n">
        <v>642</v>
      </c>
    </row>
    <row r="49" customFormat="false" ht="15" hidden="false" customHeight="false" outlineLevel="0" collapsed="false">
      <c r="A49" s="15" t="n">
        <v>46289</v>
      </c>
      <c r="B49" s="16" t="n">
        <v>116</v>
      </c>
      <c r="C49" s="16" t="n">
        <v>137</v>
      </c>
      <c r="D49" s="16" t="n">
        <v>4514</v>
      </c>
      <c r="E49" s="16" t="n">
        <v>455</v>
      </c>
      <c r="F49" s="16" t="n">
        <v>49</v>
      </c>
      <c r="G49" s="16" t="n">
        <v>13</v>
      </c>
      <c r="H49" s="16" t="n">
        <v>86</v>
      </c>
      <c r="I49" s="16" t="n">
        <v>2485</v>
      </c>
      <c r="J49" s="16" t="n">
        <v>102</v>
      </c>
      <c r="K49" s="16" t="n">
        <v>1320</v>
      </c>
      <c r="L49" s="16" t="n">
        <v>36</v>
      </c>
      <c r="M49" s="16" t="n">
        <v>58</v>
      </c>
      <c r="N49" s="16" t="n">
        <v>4</v>
      </c>
      <c r="O49" s="16" t="n">
        <v>634</v>
      </c>
    </row>
    <row r="50" customFormat="false" ht="15" hidden="false" customHeight="false" outlineLevel="0" collapsed="false">
      <c r="A50" s="15" t="n">
        <v>46290</v>
      </c>
      <c r="B50" s="16" t="n">
        <v>116</v>
      </c>
      <c r="C50" s="16" t="n">
        <v>135</v>
      </c>
      <c r="D50" s="16" t="n">
        <v>4560</v>
      </c>
      <c r="E50" s="16" t="n">
        <v>486</v>
      </c>
      <c r="F50" s="16" t="n">
        <v>49</v>
      </c>
      <c r="G50" s="16" t="n">
        <v>15</v>
      </c>
      <c r="H50" s="16" t="n">
        <v>86</v>
      </c>
      <c r="I50" s="16" t="n">
        <v>2422</v>
      </c>
      <c r="J50" s="16" t="n">
        <v>102</v>
      </c>
      <c r="K50" s="16" t="n">
        <v>1328</v>
      </c>
      <c r="L50" s="16" t="n">
        <v>33</v>
      </c>
      <c r="M50" s="16" t="n">
        <v>59</v>
      </c>
      <c r="N50" s="16" t="n">
        <v>4</v>
      </c>
      <c r="O50" s="16" t="n">
        <v>635</v>
      </c>
    </row>
    <row r="51" customFormat="false" ht="15" hidden="false" customHeight="false" outlineLevel="0" collapsed="false">
      <c r="A51" s="15" t="n">
        <v>46291</v>
      </c>
      <c r="B51" s="16" t="n">
        <v>116</v>
      </c>
      <c r="C51" s="16" t="n">
        <v>140</v>
      </c>
      <c r="D51" s="16" t="n">
        <v>4509</v>
      </c>
      <c r="E51" s="16" t="n">
        <v>433</v>
      </c>
      <c r="F51" s="16" t="n">
        <v>49</v>
      </c>
      <c r="G51" s="16" t="n">
        <v>15</v>
      </c>
      <c r="H51" s="16" t="n">
        <v>86</v>
      </c>
      <c r="I51" s="16" t="n">
        <v>2397</v>
      </c>
      <c r="J51" s="16" t="n">
        <v>102</v>
      </c>
      <c r="K51" s="16" t="n">
        <v>1229</v>
      </c>
      <c r="L51" s="16" t="n">
        <v>28</v>
      </c>
      <c r="M51" s="16" t="n">
        <v>44</v>
      </c>
      <c r="N51" s="16" t="n">
        <v>4</v>
      </c>
      <c r="O51" s="16" t="n">
        <v>634</v>
      </c>
    </row>
    <row r="52" customFormat="false" ht="15" hidden="false" customHeight="false" outlineLevel="0" collapsed="false">
      <c r="A52" s="15" t="n">
        <v>46293</v>
      </c>
      <c r="B52" s="16" t="n">
        <v>116</v>
      </c>
      <c r="C52" s="16" t="n">
        <v>144</v>
      </c>
      <c r="D52" s="16" t="n">
        <v>4483</v>
      </c>
      <c r="E52" s="16" t="n">
        <v>445</v>
      </c>
      <c r="F52" s="16" t="n">
        <v>49</v>
      </c>
      <c r="G52" s="16" t="n">
        <v>18</v>
      </c>
      <c r="H52" s="16" t="n">
        <v>87</v>
      </c>
      <c r="I52" s="16" t="n">
        <v>2320</v>
      </c>
      <c r="J52" s="16" t="n">
        <v>102</v>
      </c>
      <c r="K52" s="16" t="n">
        <v>1232</v>
      </c>
      <c r="L52" s="16" t="n">
        <v>27</v>
      </c>
      <c r="M52" s="16" t="n">
        <v>43</v>
      </c>
      <c r="N52" s="16" t="n">
        <v>4</v>
      </c>
      <c r="O52" s="16" t="n">
        <v>634</v>
      </c>
    </row>
    <row r="53" customFormat="false" ht="15" hidden="false" customHeight="false" outlineLevel="0" collapsed="false">
      <c r="A53" s="15" t="n">
        <v>46294</v>
      </c>
      <c r="B53" s="16" t="n">
        <v>116</v>
      </c>
      <c r="C53" s="16" t="n">
        <v>138</v>
      </c>
      <c r="D53" s="16" t="n">
        <v>4496</v>
      </c>
      <c r="E53" s="16" t="n">
        <v>442</v>
      </c>
      <c r="F53" s="16" t="n">
        <v>49</v>
      </c>
      <c r="G53" s="16" t="n">
        <v>17</v>
      </c>
      <c r="H53" s="16" t="n">
        <v>87</v>
      </c>
      <c r="I53" s="16" t="n">
        <v>2287</v>
      </c>
      <c r="J53" s="16" t="n">
        <v>102</v>
      </c>
      <c r="K53" s="16" t="n">
        <v>1210</v>
      </c>
      <c r="L53" s="16" t="n">
        <v>24</v>
      </c>
      <c r="M53" s="16" t="n">
        <v>38</v>
      </c>
      <c r="N53" s="16" t="n">
        <v>4</v>
      </c>
      <c r="O53" s="16" t="n">
        <v>634</v>
      </c>
    </row>
    <row r="54" customFormat="false" ht="15" hidden="false" customHeight="false" outlineLevel="0" collapsed="false">
      <c r="A54" s="15" t="n">
        <v>46295</v>
      </c>
      <c r="B54" s="16" t="n">
        <v>116</v>
      </c>
      <c r="C54" s="16" t="n">
        <v>141</v>
      </c>
      <c r="D54" s="16" t="n">
        <v>4519</v>
      </c>
      <c r="E54" s="16" t="n">
        <v>422</v>
      </c>
      <c r="F54" s="16" t="n">
        <v>49</v>
      </c>
      <c r="G54" s="16" t="n">
        <v>20</v>
      </c>
      <c r="H54" s="16" t="n">
        <v>87</v>
      </c>
      <c r="I54" s="16" t="n">
        <v>2258</v>
      </c>
      <c r="J54" s="16" t="n">
        <v>102</v>
      </c>
      <c r="K54" s="16" t="n">
        <v>1193</v>
      </c>
      <c r="L54" s="16" t="n">
        <v>24</v>
      </c>
      <c r="M54" s="16" t="n">
        <v>36</v>
      </c>
      <c r="N54" s="16" t="n">
        <v>4</v>
      </c>
      <c r="O54" s="16" t="n">
        <v>634</v>
      </c>
    </row>
    <row r="55" customFormat="false" ht="15" hidden="false" customHeight="false" outlineLevel="0" collapsed="false">
      <c r="A55" s="15" t="n">
        <v>46296</v>
      </c>
      <c r="B55" s="16" t="n">
        <v>116</v>
      </c>
      <c r="C55" s="16" t="n">
        <v>132</v>
      </c>
      <c r="D55" s="16" t="n">
        <v>4427</v>
      </c>
      <c r="E55" s="16" t="n">
        <v>421</v>
      </c>
      <c r="F55" s="16" t="n">
        <v>49</v>
      </c>
      <c r="G55" s="16" t="n">
        <v>23</v>
      </c>
      <c r="H55" s="16" t="n">
        <v>87</v>
      </c>
      <c r="I55" s="16" t="n">
        <v>2297</v>
      </c>
      <c r="J55" s="16" t="n">
        <v>102</v>
      </c>
      <c r="K55" s="16" t="n">
        <v>1219</v>
      </c>
      <c r="L55" s="16" t="n">
        <v>26</v>
      </c>
      <c r="M55" s="16" t="n">
        <v>37</v>
      </c>
      <c r="N55" s="16"/>
      <c r="O55" s="16"/>
    </row>
    <row r="56" customFormat="false" ht="15" hidden="false" customHeight="false" outlineLevel="0" collapsed="false">
      <c r="A56" s="15" t="n">
        <v>46297</v>
      </c>
      <c r="B56" s="16" t="n">
        <v>116</v>
      </c>
      <c r="C56" s="16" t="n">
        <v>140</v>
      </c>
      <c r="D56" s="16" t="n">
        <v>4339</v>
      </c>
      <c r="E56" s="16" t="n">
        <v>401</v>
      </c>
      <c r="F56" s="16" t="n">
        <v>49</v>
      </c>
      <c r="G56" s="16" t="n">
        <v>25</v>
      </c>
      <c r="H56" s="16" t="n">
        <v>90</v>
      </c>
      <c r="I56" s="16" t="n">
        <v>2409</v>
      </c>
      <c r="J56" s="16" t="n">
        <v>102</v>
      </c>
      <c r="K56" s="16" t="n">
        <v>1225</v>
      </c>
      <c r="L56" s="16" t="n">
        <v>27</v>
      </c>
      <c r="M56" s="16" t="n">
        <v>35</v>
      </c>
      <c r="N56" s="16" t="n">
        <v>6</v>
      </c>
      <c r="O56" s="16" t="n">
        <v>633</v>
      </c>
    </row>
    <row r="57" customFormat="false" ht="15" hidden="false" customHeight="false" outlineLevel="0" collapsed="false">
      <c r="A57" s="15" t="n">
        <v>46298</v>
      </c>
      <c r="B57" s="16" t="n">
        <v>116</v>
      </c>
      <c r="C57" s="16" t="n">
        <v>157</v>
      </c>
      <c r="D57" s="16" t="n">
        <v>4412</v>
      </c>
      <c r="E57" s="16" t="n">
        <v>401</v>
      </c>
      <c r="F57" s="16" t="n">
        <v>49</v>
      </c>
      <c r="G57" s="16" t="n">
        <v>32</v>
      </c>
      <c r="H57" s="16" t="n">
        <v>116</v>
      </c>
      <c r="I57" s="16" t="n">
        <v>2610</v>
      </c>
      <c r="J57" s="16" t="n">
        <v>102</v>
      </c>
      <c r="K57" s="16" t="n">
        <v>1263</v>
      </c>
      <c r="L57" s="16" t="n">
        <v>33</v>
      </c>
      <c r="M57" s="16" t="n">
        <v>34</v>
      </c>
      <c r="N57" s="16" t="n">
        <v>7</v>
      </c>
      <c r="O57" s="16" t="n">
        <v>736</v>
      </c>
    </row>
    <row r="58" customFormat="false" ht="15" hidden="false" customHeight="false" outlineLevel="0" collapsed="false">
      <c r="A58" s="15" t="n">
        <v>46300</v>
      </c>
      <c r="B58" s="16" t="n">
        <v>116</v>
      </c>
      <c r="C58" s="16" t="n">
        <v>158</v>
      </c>
      <c r="D58" s="16" t="n">
        <v>4404</v>
      </c>
      <c r="E58" s="16" t="n">
        <v>401</v>
      </c>
      <c r="F58" s="16" t="n">
        <v>49</v>
      </c>
      <c r="G58" s="16" t="n">
        <v>33</v>
      </c>
      <c r="H58" s="16" t="n">
        <v>117</v>
      </c>
      <c r="I58" s="16" t="n">
        <v>2616</v>
      </c>
      <c r="J58" s="16" t="n">
        <v>102</v>
      </c>
      <c r="K58" s="16" t="n">
        <v>1282</v>
      </c>
      <c r="L58" s="16" t="n">
        <v>33</v>
      </c>
      <c r="M58" s="16" t="n">
        <v>36</v>
      </c>
      <c r="N58" s="16" t="n">
        <v>7</v>
      </c>
      <c r="O58" s="16" t="n">
        <v>938</v>
      </c>
    </row>
    <row r="59" customFormat="false" ht="15" hidden="false" customHeight="false" outlineLevel="0" collapsed="false">
      <c r="A59" s="15" t="n">
        <v>46301</v>
      </c>
      <c r="B59" s="16" t="n">
        <v>116</v>
      </c>
      <c r="C59" s="16" t="n">
        <v>158</v>
      </c>
      <c r="D59" s="16" t="n">
        <v>4380</v>
      </c>
      <c r="E59" s="16" t="n">
        <v>366</v>
      </c>
      <c r="F59" s="16" t="n">
        <v>49</v>
      </c>
      <c r="G59" s="16" t="n">
        <v>33</v>
      </c>
      <c r="H59" s="16" t="n">
        <v>117</v>
      </c>
      <c r="I59" s="16" t="n">
        <v>2610</v>
      </c>
      <c r="J59" s="16" t="n">
        <v>102</v>
      </c>
      <c r="K59" s="16" t="n">
        <v>1253</v>
      </c>
      <c r="L59" s="16" t="n">
        <v>31</v>
      </c>
      <c r="M59" s="16" t="n">
        <v>37</v>
      </c>
      <c r="N59" s="16" t="n">
        <v>7</v>
      </c>
      <c r="O59" s="16" t="n">
        <v>940</v>
      </c>
    </row>
    <row r="60" customFormat="false" ht="15" hidden="false" customHeight="false" outlineLevel="0" collapsed="false">
      <c r="A60" s="15" t="n">
        <v>46302</v>
      </c>
      <c r="B60" s="16" t="n">
        <v>116</v>
      </c>
      <c r="C60" s="16" t="n">
        <v>201</v>
      </c>
      <c r="D60" s="16" t="n">
        <v>4418</v>
      </c>
      <c r="E60" s="16" t="n">
        <v>352</v>
      </c>
      <c r="F60" s="16" t="n">
        <v>49</v>
      </c>
      <c r="G60" s="16" t="n">
        <v>33</v>
      </c>
      <c r="H60" s="16" t="n">
        <v>119</v>
      </c>
      <c r="I60" s="16" t="n">
        <v>2707</v>
      </c>
      <c r="J60" s="16" t="n">
        <v>102</v>
      </c>
      <c r="K60" s="16" t="n">
        <v>1188</v>
      </c>
      <c r="L60" s="16" t="n">
        <v>29</v>
      </c>
      <c r="M60" s="16" t="n">
        <v>29</v>
      </c>
      <c r="N60" s="16" t="n">
        <v>7</v>
      </c>
      <c r="O60" s="16" t="n">
        <v>939</v>
      </c>
    </row>
    <row r="61" customFormat="false" ht="15" hidden="false" customHeight="false" outlineLevel="0" collapsed="false">
      <c r="A61" s="15" t="n">
        <v>46303</v>
      </c>
      <c r="B61" s="16" t="n">
        <v>116</v>
      </c>
      <c r="C61" s="16" t="n">
        <v>198</v>
      </c>
      <c r="D61" s="16" t="n">
        <v>4680</v>
      </c>
      <c r="E61" s="16" t="n">
        <v>393</v>
      </c>
      <c r="F61" s="16" t="n">
        <v>49</v>
      </c>
      <c r="G61" s="16" t="n">
        <v>35</v>
      </c>
      <c r="H61" s="16" t="n">
        <v>114</v>
      </c>
      <c r="I61" s="16" t="n">
        <v>2794</v>
      </c>
      <c r="J61" s="16" t="n">
        <v>120</v>
      </c>
      <c r="K61" s="16" t="n">
        <v>1220</v>
      </c>
      <c r="L61" s="16" t="n">
        <v>29</v>
      </c>
      <c r="M61" s="16" t="n">
        <v>29</v>
      </c>
      <c r="N61" s="16" t="n">
        <v>7</v>
      </c>
      <c r="O61" s="16" t="n">
        <v>681</v>
      </c>
    </row>
    <row r="62" customFormat="false" ht="15" hidden="false" customHeight="false" outlineLevel="0" collapsed="false">
      <c r="A62" s="15" t="n">
        <v>46304</v>
      </c>
      <c r="B62" s="16" t="n">
        <v>116</v>
      </c>
      <c r="C62" s="16" t="n">
        <v>197</v>
      </c>
      <c r="D62" s="16" t="n">
        <v>4362</v>
      </c>
      <c r="E62" s="16" t="n">
        <v>442</v>
      </c>
      <c r="F62" s="16" t="n">
        <v>49</v>
      </c>
      <c r="G62" s="16" t="n">
        <v>37</v>
      </c>
      <c r="H62" s="16" t="n">
        <v>117</v>
      </c>
      <c r="I62" s="16" t="n">
        <v>2466</v>
      </c>
      <c r="J62" s="16" t="n">
        <v>124</v>
      </c>
      <c r="K62" s="16" t="n">
        <v>1243</v>
      </c>
      <c r="L62" s="16" t="n">
        <v>30</v>
      </c>
      <c r="M62" s="16" t="n">
        <v>30</v>
      </c>
      <c r="N62" s="16" t="n">
        <v>7</v>
      </c>
      <c r="O62" s="16" t="n">
        <v>841</v>
      </c>
    </row>
    <row r="63" customFormat="false" ht="15" hidden="false" customHeight="false" outlineLevel="0" collapsed="false">
      <c r="A63" s="15" t="n">
        <v>46307</v>
      </c>
      <c r="B63" s="16" t="n">
        <v>116</v>
      </c>
      <c r="C63" s="16" t="n">
        <v>190</v>
      </c>
      <c r="D63" s="16" t="n">
        <v>4238</v>
      </c>
      <c r="E63" s="16" t="n">
        <v>431</v>
      </c>
      <c r="F63" s="16" t="n">
        <v>49</v>
      </c>
      <c r="G63" s="16" t="n">
        <v>38</v>
      </c>
      <c r="H63" s="16" t="n">
        <v>119</v>
      </c>
      <c r="I63" s="16" t="n">
        <v>2250</v>
      </c>
      <c r="J63" s="16" t="n">
        <v>128</v>
      </c>
      <c r="K63" s="16" t="n">
        <v>1404</v>
      </c>
      <c r="L63" s="16" t="n">
        <v>59</v>
      </c>
      <c r="M63" s="16" t="n">
        <v>44</v>
      </c>
      <c r="N63" s="16" t="n">
        <v>7</v>
      </c>
      <c r="O63" s="16" t="n">
        <v>846</v>
      </c>
    </row>
    <row r="64" customFormat="false" ht="15" hidden="false" customHeight="false" outlineLevel="0" collapsed="false">
      <c r="A64" s="15" t="n">
        <v>46308</v>
      </c>
      <c r="B64" s="16" t="n">
        <v>116</v>
      </c>
      <c r="C64" s="16" t="n">
        <v>190</v>
      </c>
      <c r="D64" s="16" t="n">
        <v>4156</v>
      </c>
      <c r="E64" s="16" t="n">
        <v>418</v>
      </c>
      <c r="F64" s="16" t="n">
        <v>49</v>
      </c>
      <c r="G64" s="16" t="n">
        <v>38</v>
      </c>
      <c r="H64" s="16" t="n">
        <v>119</v>
      </c>
      <c r="I64" s="16" t="n">
        <v>2218</v>
      </c>
      <c r="J64" s="16" t="n">
        <v>131</v>
      </c>
      <c r="K64" s="16" t="n">
        <v>1103</v>
      </c>
      <c r="L64" s="16" t="n">
        <v>58</v>
      </c>
      <c r="M64" s="16" t="n">
        <v>41</v>
      </c>
      <c r="N64" s="16" t="n">
        <v>7</v>
      </c>
      <c r="O64" s="16" t="n">
        <v>842</v>
      </c>
    </row>
    <row r="65" customFormat="false" ht="15" hidden="false" customHeight="false" outlineLevel="0" collapsed="false">
      <c r="A65" s="15" t="n">
        <v>46309</v>
      </c>
      <c r="B65" s="16" t="n">
        <v>116</v>
      </c>
      <c r="C65" s="16" t="n">
        <v>184</v>
      </c>
      <c r="D65" s="16" t="n">
        <v>4139</v>
      </c>
      <c r="E65" s="16" t="n">
        <v>493</v>
      </c>
      <c r="F65" s="16" t="n">
        <v>49</v>
      </c>
      <c r="G65" s="16" t="n">
        <v>39</v>
      </c>
      <c r="H65" s="16" t="n">
        <v>120</v>
      </c>
      <c r="I65" s="16" t="n">
        <v>2169</v>
      </c>
      <c r="J65" s="16" t="n">
        <v>132</v>
      </c>
      <c r="K65" s="16" t="n">
        <v>1090</v>
      </c>
      <c r="L65" s="16" t="n">
        <v>59</v>
      </c>
      <c r="M65" s="16" t="n">
        <v>41</v>
      </c>
      <c r="N65" s="16" t="n">
        <v>7</v>
      </c>
      <c r="O65" s="16" t="n">
        <v>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5" min="2" style="0" width="15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57</v>
      </c>
    </row>
    <row r="3" customFormat="false" ht="15" hidden="false" customHeight="false" outlineLevel="0" collapsed="false">
      <c r="A3" s="2" t="s">
        <v>58</v>
      </c>
    </row>
    <row r="4" customFormat="false" ht="15" hidden="false" customHeight="false" outlineLevel="0" collapsed="false">
      <c r="A4" s="2" t="s">
        <v>32</v>
      </c>
      <c r="B4" s="17" t="s">
        <v>13</v>
      </c>
      <c r="C4" s="17" t="s">
        <v>13</v>
      </c>
      <c r="D4" s="17" t="s">
        <v>13</v>
      </c>
      <c r="E4" s="18" t="s">
        <v>11</v>
      </c>
      <c r="F4" s="18" t="s">
        <v>11</v>
      </c>
      <c r="G4" s="18" t="s">
        <v>11</v>
      </c>
      <c r="H4" s="18" t="s">
        <v>11</v>
      </c>
      <c r="I4" s="18" t="s">
        <v>11</v>
      </c>
      <c r="J4" s="18" t="s">
        <v>11</v>
      </c>
      <c r="K4" s="18" t="s">
        <v>11</v>
      </c>
      <c r="L4" s="18" t="s">
        <v>11</v>
      </c>
      <c r="M4" s="18" t="s">
        <v>11</v>
      </c>
      <c r="N4" s="17" t="s">
        <v>13</v>
      </c>
      <c r="O4" s="17" t="s">
        <v>13</v>
      </c>
    </row>
    <row r="5" customFormat="false" ht="35.05" hidden="false" customHeight="false" outlineLevel="0" collapsed="false">
      <c r="A5" s="13" t="s">
        <v>33</v>
      </c>
      <c r="B5" s="14" t="s">
        <v>59</v>
      </c>
      <c r="C5" s="14" t="s">
        <v>60</v>
      </c>
      <c r="D5" s="14" t="s">
        <v>61</v>
      </c>
      <c r="E5" s="14" t="s">
        <v>62</v>
      </c>
      <c r="F5" s="14" t="s">
        <v>63</v>
      </c>
      <c r="G5" s="14" t="s">
        <v>64</v>
      </c>
      <c r="H5" s="14" t="s">
        <v>65</v>
      </c>
      <c r="I5" s="14" t="s">
        <v>66</v>
      </c>
      <c r="J5" s="14" t="s">
        <v>67</v>
      </c>
      <c r="K5" s="14" t="s">
        <v>68</v>
      </c>
      <c r="L5" s="14" t="s">
        <v>69</v>
      </c>
      <c r="M5" s="14" t="s">
        <v>70</v>
      </c>
      <c r="N5" s="14" t="s">
        <v>71</v>
      </c>
      <c r="O5" s="14" t="s">
        <v>72</v>
      </c>
    </row>
    <row r="6" customFormat="false" ht="15" hidden="false" customHeight="false" outlineLevel="0" collapsed="false">
      <c r="A6" s="15" t="n">
        <v>46203</v>
      </c>
      <c r="B6" s="16"/>
      <c r="C6" s="16"/>
      <c r="D6" s="16" t="n">
        <v>244</v>
      </c>
      <c r="E6" s="19" t="n">
        <v>18.9</v>
      </c>
      <c r="F6" s="16"/>
      <c r="G6" s="16" t="n">
        <v>322</v>
      </c>
      <c r="H6" s="16" t="n">
        <v>205</v>
      </c>
      <c r="I6" s="16" t="n">
        <v>47</v>
      </c>
      <c r="J6" s="16" t="n">
        <v>8</v>
      </c>
      <c r="K6" s="16" t="n">
        <v>587</v>
      </c>
      <c r="L6" s="19" t="n">
        <v>13.8</v>
      </c>
      <c r="M6" s="16"/>
      <c r="N6" s="16"/>
      <c r="O6" s="16"/>
    </row>
    <row r="7" customFormat="false" ht="15" hidden="false" customHeight="false" outlineLevel="0" collapsed="false">
      <c r="A7" s="15" t="n">
        <v>46230</v>
      </c>
      <c r="B7" s="16"/>
      <c r="C7" s="16"/>
      <c r="D7" s="16" t="n">
        <v>244</v>
      </c>
      <c r="E7" s="19" t="n">
        <v>61.5</v>
      </c>
      <c r="F7" s="16" t="n">
        <v>42</v>
      </c>
      <c r="G7" s="16" t="n">
        <v>442</v>
      </c>
      <c r="H7" s="16"/>
      <c r="I7" s="16" t="n">
        <v>65</v>
      </c>
      <c r="J7" s="19" t="n">
        <v>7.2</v>
      </c>
      <c r="K7" s="16" t="n">
        <v>900</v>
      </c>
      <c r="L7" s="19" t="n">
        <v>23.2</v>
      </c>
      <c r="M7" s="16"/>
      <c r="N7" s="16"/>
      <c r="O7" s="16"/>
    </row>
    <row r="8" customFormat="false" ht="15" hidden="false" customHeight="false" outlineLevel="0" collapsed="false">
      <c r="A8" s="15" t="n">
        <v>46231</v>
      </c>
      <c r="B8" s="16" t="n">
        <v>14</v>
      </c>
      <c r="C8" s="16" t="n">
        <v>333</v>
      </c>
      <c r="D8" s="16" t="n">
        <v>328</v>
      </c>
      <c r="E8" s="16" t="n">
        <v>63</v>
      </c>
      <c r="F8" s="16" t="n">
        <v>42</v>
      </c>
      <c r="G8" s="16" t="n">
        <v>435</v>
      </c>
      <c r="H8" s="16"/>
      <c r="I8" s="16" t="n">
        <v>65</v>
      </c>
      <c r="J8" s="16" t="n">
        <v>7</v>
      </c>
      <c r="K8" s="16" t="n">
        <v>934</v>
      </c>
      <c r="L8" s="19" t="n">
        <v>23.7</v>
      </c>
      <c r="M8" s="16"/>
      <c r="N8" s="16"/>
      <c r="O8" s="16"/>
    </row>
    <row r="9" customFormat="false" ht="15" hidden="false" customHeight="false" outlineLevel="0" collapsed="false">
      <c r="A9" s="15" t="n">
        <v>46232</v>
      </c>
      <c r="B9" s="16" t="n">
        <v>14</v>
      </c>
      <c r="C9" s="16" t="n">
        <v>344</v>
      </c>
      <c r="D9" s="16" t="n">
        <v>339</v>
      </c>
      <c r="E9" s="19" t="n">
        <v>64.1</v>
      </c>
      <c r="F9" s="16" t="n">
        <v>42</v>
      </c>
      <c r="G9" s="16" t="n">
        <v>421</v>
      </c>
      <c r="H9" s="16"/>
      <c r="I9" s="16" t="n">
        <v>63</v>
      </c>
      <c r="J9" s="19" t="n">
        <v>6.6</v>
      </c>
      <c r="K9" s="16" t="n">
        <v>952</v>
      </c>
      <c r="L9" s="19" t="n">
        <v>23.8</v>
      </c>
      <c r="M9" s="16" t="n">
        <v>113</v>
      </c>
      <c r="N9" s="16"/>
      <c r="O9" s="16"/>
    </row>
    <row r="10" customFormat="false" ht="15" hidden="false" customHeight="false" outlineLevel="0" collapsed="false">
      <c r="A10" s="15" t="n">
        <v>46233</v>
      </c>
      <c r="B10" s="16" t="n">
        <v>14</v>
      </c>
      <c r="C10" s="16" t="n">
        <v>344</v>
      </c>
      <c r="D10" s="16" t="n">
        <v>339</v>
      </c>
      <c r="E10" s="19" t="n">
        <v>64.1</v>
      </c>
      <c r="F10" s="16" t="n">
        <v>42</v>
      </c>
      <c r="G10" s="16" t="n">
        <v>421</v>
      </c>
      <c r="H10" s="16"/>
      <c r="I10" s="16" t="n">
        <v>65</v>
      </c>
      <c r="J10" s="19" t="n">
        <v>6.5</v>
      </c>
      <c r="K10" s="16" t="n">
        <v>1006</v>
      </c>
      <c r="L10" s="19" t="n">
        <v>23.7</v>
      </c>
      <c r="M10" s="16" t="n">
        <v>88</v>
      </c>
      <c r="N10" s="16"/>
      <c r="O10" s="16"/>
    </row>
    <row r="11" customFormat="false" ht="15" hidden="false" customHeight="false" outlineLevel="0" collapsed="false">
      <c r="A11" s="15" t="n">
        <v>46234</v>
      </c>
      <c r="B11" s="16" t="n">
        <v>14</v>
      </c>
      <c r="C11" s="16" t="n">
        <v>346</v>
      </c>
      <c r="D11" s="16" t="n">
        <v>341</v>
      </c>
      <c r="E11" s="19" t="n">
        <v>66.7</v>
      </c>
      <c r="F11" s="16" t="n">
        <v>42</v>
      </c>
      <c r="G11" s="16" t="n">
        <v>405</v>
      </c>
      <c r="H11" s="16"/>
      <c r="I11" s="16" t="n">
        <v>67</v>
      </c>
      <c r="J11" s="19" t="n">
        <v>6.5</v>
      </c>
      <c r="K11" s="16" t="n">
        <v>1032</v>
      </c>
      <c r="L11" s="19" t="n">
        <v>24.1</v>
      </c>
      <c r="M11" s="16" t="n">
        <v>92</v>
      </c>
      <c r="N11" s="16"/>
      <c r="O11" s="16"/>
    </row>
    <row r="12" customFormat="false" ht="15" hidden="false" customHeight="false" outlineLevel="0" collapsed="false">
      <c r="A12" s="15" t="n">
        <v>46237</v>
      </c>
      <c r="B12" s="16" t="n">
        <v>19</v>
      </c>
      <c r="C12" s="16" t="n">
        <v>357</v>
      </c>
      <c r="D12" s="16" t="n">
        <v>352</v>
      </c>
      <c r="E12" s="19" t="n">
        <v>67.2</v>
      </c>
      <c r="F12" s="16" t="n">
        <v>38</v>
      </c>
      <c r="G12" s="16" t="n">
        <v>381</v>
      </c>
      <c r="H12" s="16"/>
      <c r="I12" s="16" t="n">
        <v>68</v>
      </c>
      <c r="J12" s="19" t="n">
        <v>5.7</v>
      </c>
      <c r="K12" s="16" t="n">
        <v>1189</v>
      </c>
      <c r="L12" s="19" t="n">
        <v>26.2</v>
      </c>
      <c r="M12" s="16" t="n">
        <v>105</v>
      </c>
      <c r="N12" s="16"/>
      <c r="O12" s="16"/>
    </row>
    <row r="13" customFormat="false" ht="15" hidden="false" customHeight="false" outlineLevel="0" collapsed="false">
      <c r="A13" s="15" t="n">
        <v>46241</v>
      </c>
      <c r="B13" s="16" t="n">
        <v>19</v>
      </c>
      <c r="C13" s="16" t="n">
        <v>372</v>
      </c>
      <c r="D13" s="16" t="n">
        <v>366</v>
      </c>
      <c r="E13" s="19" t="n">
        <v>67.6</v>
      </c>
      <c r="F13" s="16" t="n">
        <v>23</v>
      </c>
      <c r="G13" s="16" t="n">
        <v>287</v>
      </c>
      <c r="H13" s="16" t="n">
        <v>140</v>
      </c>
      <c r="I13" s="16" t="n">
        <v>72</v>
      </c>
      <c r="J13" s="19" t="n">
        <v>5.6</v>
      </c>
      <c r="K13" s="16" t="n">
        <v>1288</v>
      </c>
      <c r="L13" s="19" t="n">
        <v>29.6</v>
      </c>
      <c r="M13" s="16" t="n">
        <v>128</v>
      </c>
      <c r="N13" s="16" t="n">
        <v>75</v>
      </c>
      <c r="O13" s="16"/>
    </row>
    <row r="14" customFormat="false" ht="15" hidden="false" customHeight="false" outlineLevel="0" collapsed="false">
      <c r="A14" s="15" t="n">
        <v>46244</v>
      </c>
      <c r="B14" s="16" t="n">
        <v>18</v>
      </c>
      <c r="C14" s="16" t="n">
        <v>401</v>
      </c>
      <c r="D14" s="16" t="n">
        <v>395</v>
      </c>
      <c r="E14" s="19" t="n">
        <v>66.28</v>
      </c>
      <c r="F14" s="16" t="n">
        <v>21</v>
      </c>
      <c r="G14" s="16" t="n">
        <v>258</v>
      </c>
      <c r="H14" s="16" t="n">
        <v>131</v>
      </c>
      <c r="I14" s="16" t="n">
        <v>74</v>
      </c>
      <c r="J14" s="19" t="n">
        <v>5.5</v>
      </c>
      <c r="K14" s="16" t="n">
        <v>1337</v>
      </c>
      <c r="L14" s="19" t="n">
        <v>29.2</v>
      </c>
      <c r="M14" s="16" t="n">
        <v>136</v>
      </c>
      <c r="N14" s="16" t="n">
        <v>76</v>
      </c>
      <c r="O14" s="16"/>
    </row>
    <row r="15" customFormat="false" ht="15" hidden="false" customHeight="false" outlineLevel="0" collapsed="false">
      <c r="A15" s="15" t="n">
        <v>46245</v>
      </c>
      <c r="B15" s="16" t="n">
        <v>18</v>
      </c>
      <c r="C15" s="16" t="n">
        <v>404</v>
      </c>
      <c r="D15" s="16" t="n">
        <v>397</v>
      </c>
      <c r="E15" s="19" t="n">
        <v>65.04</v>
      </c>
      <c r="F15" s="16" t="n">
        <v>15</v>
      </c>
      <c r="G15" s="16" t="n">
        <v>246</v>
      </c>
      <c r="H15" s="16" t="n">
        <v>128</v>
      </c>
      <c r="I15" s="16" t="n">
        <v>72</v>
      </c>
      <c r="J15" s="19" t="n">
        <v>5.3</v>
      </c>
      <c r="K15" s="16" t="n">
        <v>1371</v>
      </c>
      <c r="L15" s="19" t="n">
        <v>29.4</v>
      </c>
      <c r="M15" s="16" t="n">
        <v>140</v>
      </c>
      <c r="N15" s="16" t="n">
        <v>77</v>
      </c>
      <c r="O15" s="16"/>
    </row>
    <row r="16" customFormat="false" ht="15" hidden="false" customHeight="false" outlineLevel="0" collapsed="false">
      <c r="A16" s="15" t="n">
        <v>46246</v>
      </c>
      <c r="B16" s="16" t="n">
        <v>18</v>
      </c>
      <c r="C16" s="16" t="n">
        <v>415</v>
      </c>
      <c r="D16" s="16" t="n">
        <v>404</v>
      </c>
      <c r="E16" s="19" t="n">
        <v>66.37</v>
      </c>
      <c r="F16" s="16" t="n">
        <v>15</v>
      </c>
      <c r="G16" s="16" t="n">
        <v>223</v>
      </c>
      <c r="H16" s="16" t="n">
        <v>114</v>
      </c>
      <c r="I16" s="16" t="n">
        <v>72</v>
      </c>
      <c r="J16" s="19" t="n">
        <v>5.1</v>
      </c>
      <c r="K16" s="16" t="n">
        <v>1415</v>
      </c>
      <c r="L16" s="19" t="n">
        <v>30.6</v>
      </c>
      <c r="M16" s="16" t="n">
        <v>148</v>
      </c>
      <c r="N16" s="16" t="n">
        <v>78</v>
      </c>
      <c r="O16" s="16"/>
    </row>
    <row r="17" customFormat="false" ht="15" hidden="false" customHeight="false" outlineLevel="0" collapsed="false">
      <c r="A17" s="15" t="n">
        <v>46247</v>
      </c>
      <c r="B17" s="16" t="n">
        <v>18</v>
      </c>
      <c r="C17" s="16" t="n">
        <v>418</v>
      </c>
      <c r="D17" s="16" t="n">
        <v>406</v>
      </c>
      <c r="E17" s="16" t="n">
        <v>67</v>
      </c>
      <c r="F17" s="16" t="n">
        <v>15</v>
      </c>
      <c r="G17" s="16" t="n">
        <v>203</v>
      </c>
      <c r="H17" s="16" t="n">
        <v>111</v>
      </c>
      <c r="I17" s="16" t="n">
        <v>79</v>
      </c>
      <c r="J17" s="19" t="n">
        <v>5.2</v>
      </c>
      <c r="K17" s="16" t="n">
        <v>1521</v>
      </c>
      <c r="L17" s="19" t="n">
        <v>30.4</v>
      </c>
      <c r="M17" s="16" t="n">
        <v>153</v>
      </c>
      <c r="N17" s="16" t="n">
        <v>79</v>
      </c>
      <c r="O17" s="16"/>
    </row>
    <row r="18" customFormat="false" ht="15" hidden="false" customHeight="false" outlineLevel="0" collapsed="false">
      <c r="A18" s="15" t="n">
        <v>46248</v>
      </c>
      <c r="B18" s="16" t="n">
        <v>18</v>
      </c>
      <c r="C18" s="16" t="n">
        <v>422</v>
      </c>
      <c r="D18" s="16" t="n">
        <v>410</v>
      </c>
      <c r="E18" s="19" t="n">
        <v>67.82</v>
      </c>
      <c r="F18" s="16" t="n">
        <v>13</v>
      </c>
      <c r="G18" s="16" t="n">
        <v>174</v>
      </c>
      <c r="H18" s="16" t="n">
        <v>97</v>
      </c>
      <c r="I18" s="16" t="n">
        <v>87</v>
      </c>
      <c r="J18" s="19" t="n">
        <v>5.4</v>
      </c>
      <c r="K18" s="16" t="n">
        <v>1604</v>
      </c>
      <c r="L18" s="19" t="n">
        <v>29.6</v>
      </c>
      <c r="M18" s="16" t="n">
        <v>147</v>
      </c>
      <c r="N18" s="16" t="n">
        <v>79</v>
      </c>
      <c r="O18" s="16"/>
    </row>
    <row r="19" customFormat="false" ht="15" hidden="false" customHeight="false" outlineLevel="0" collapsed="false">
      <c r="A19" s="15" t="n">
        <v>46251</v>
      </c>
      <c r="B19" s="16" t="n">
        <v>18</v>
      </c>
      <c r="C19" s="16" t="n">
        <v>438</v>
      </c>
      <c r="D19" s="16" t="n">
        <v>422</v>
      </c>
      <c r="E19" s="19" t="n">
        <v>62.75</v>
      </c>
      <c r="F19" s="16" t="n">
        <v>9</v>
      </c>
      <c r="G19" s="16" t="n">
        <v>153</v>
      </c>
      <c r="H19" s="16" t="n">
        <v>83</v>
      </c>
      <c r="I19" s="16" t="n">
        <v>77</v>
      </c>
      <c r="J19" s="19" t="n">
        <v>4.4</v>
      </c>
      <c r="K19" s="16" t="n">
        <v>1749</v>
      </c>
      <c r="L19" s="19" t="n">
        <v>29.2</v>
      </c>
      <c r="M19" s="16" t="n">
        <v>154</v>
      </c>
      <c r="N19" s="16" t="n">
        <v>80</v>
      </c>
      <c r="O19" s="16"/>
    </row>
    <row r="20" customFormat="false" ht="15" hidden="false" customHeight="false" outlineLevel="0" collapsed="false">
      <c r="A20" s="15" t="n">
        <v>46252</v>
      </c>
      <c r="B20" s="16" t="n">
        <v>18</v>
      </c>
      <c r="C20" s="16" t="n">
        <v>439</v>
      </c>
      <c r="D20" s="16" t="n">
        <v>423</v>
      </c>
      <c r="E20" s="19" t="n">
        <v>54.95</v>
      </c>
      <c r="F20" s="16" t="n">
        <v>9</v>
      </c>
      <c r="G20" s="16" t="n">
        <v>111</v>
      </c>
      <c r="H20" s="16" t="n">
        <v>59</v>
      </c>
      <c r="I20" s="16" t="n">
        <v>76</v>
      </c>
      <c r="J20" s="19" t="n">
        <v>4.3</v>
      </c>
      <c r="K20" s="16" t="n">
        <v>1761</v>
      </c>
      <c r="L20" s="19" t="n">
        <v>29.3</v>
      </c>
      <c r="M20" s="16" t="n">
        <v>152</v>
      </c>
      <c r="N20" s="16" t="n">
        <v>82</v>
      </c>
      <c r="O20" s="16"/>
    </row>
    <row r="21" customFormat="false" ht="15" hidden="false" customHeight="false" outlineLevel="0" collapsed="false">
      <c r="A21" s="15" t="n">
        <v>46253</v>
      </c>
      <c r="B21" s="16" t="n">
        <v>18</v>
      </c>
      <c r="C21" s="16" t="n">
        <v>440</v>
      </c>
      <c r="D21" s="16" t="n">
        <v>425</v>
      </c>
      <c r="E21" s="19" t="n">
        <v>56.25</v>
      </c>
      <c r="F21" s="16" t="n">
        <v>5</v>
      </c>
      <c r="G21" s="16" t="n">
        <v>112</v>
      </c>
      <c r="H21" s="16" t="n">
        <v>56</v>
      </c>
      <c r="I21" s="16"/>
      <c r="J21" s="16"/>
      <c r="K21" s="16"/>
      <c r="L21" s="16"/>
      <c r="M21" s="16"/>
      <c r="N21" s="16" t="n">
        <v>81</v>
      </c>
      <c r="O21" s="16"/>
    </row>
    <row r="22" customFormat="false" ht="15" hidden="false" customHeight="false" outlineLevel="0" collapsed="false">
      <c r="A22" s="15" t="n">
        <v>46254</v>
      </c>
      <c r="B22" s="16" t="n">
        <v>17</v>
      </c>
      <c r="C22" s="16" t="n">
        <v>440</v>
      </c>
      <c r="D22" s="16" t="n">
        <v>425</v>
      </c>
      <c r="E22" s="16" t="n">
        <v>50</v>
      </c>
      <c r="F22" s="16" t="n">
        <v>3</v>
      </c>
      <c r="G22" s="16" t="n">
        <v>120</v>
      </c>
      <c r="H22" s="16" t="n">
        <v>59</v>
      </c>
      <c r="I22" s="16" t="n">
        <v>65</v>
      </c>
      <c r="J22" s="19" t="n">
        <v>3.6</v>
      </c>
      <c r="K22" s="16" t="n">
        <v>1829</v>
      </c>
      <c r="L22" s="19" t="n">
        <v>29.2</v>
      </c>
      <c r="M22" s="16" t="n">
        <v>151</v>
      </c>
      <c r="N22" s="16" t="n">
        <v>16</v>
      </c>
      <c r="O22" s="16"/>
    </row>
    <row r="23" customFormat="false" ht="15" hidden="false" customHeight="false" outlineLevel="0" collapsed="false">
      <c r="A23" s="15" t="n">
        <v>46255</v>
      </c>
      <c r="B23" s="16" t="n">
        <v>17</v>
      </c>
      <c r="C23" s="16" t="n">
        <v>441</v>
      </c>
      <c r="D23" s="16" t="n">
        <v>426</v>
      </c>
      <c r="E23" s="19" t="n">
        <v>45.11</v>
      </c>
      <c r="F23" s="16" t="n">
        <v>1</v>
      </c>
      <c r="G23" s="16" t="n">
        <v>133</v>
      </c>
      <c r="H23" s="16" t="n">
        <v>63</v>
      </c>
      <c r="I23" s="16" t="n">
        <v>63</v>
      </c>
      <c r="J23" s="19" t="n">
        <v>3.5</v>
      </c>
      <c r="K23" s="16" t="n">
        <v>1824</v>
      </c>
      <c r="L23" s="19" t="n">
        <v>29.1</v>
      </c>
      <c r="M23" s="16" t="n">
        <v>150</v>
      </c>
      <c r="N23" s="16" t="n">
        <v>16</v>
      </c>
      <c r="O23" s="16"/>
    </row>
    <row r="24" customFormat="false" ht="15" hidden="false" customHeight="false" outlineLevel="0" collapsed="false">
      <c r="A24" s="15" t="n">
        <v>46258</v>
      </c>
      <c r="B24" s="16" t="n">
        <v>19</v>
      </c>
      <c r="C24" s="16" t="n">
        <v>426</v>
      </c>
      <c r="D24" s="16" t="n">
        <v>412</v>
      </c>
      <c r="E24" s="19" t="n">
        <v>40.83</v>
      </c>
      <c r="F24" s="16" t="n">
        <v>2</v>
      </c>
      <c r="G24" s="16" t="n">
        <v>169</v>
      </c>
      <c r="H24" s="16" t="n">
        <v>81</v>
      </c>
      <c r="I24" s="16" t="n">
        <v>68</v>
      </c>
      <c r="J24" s="19" t="n">
        <v>3.7</v>
      </c>
      <c r="K24" s="16" t="n">
        <v>1849</v>
      </c>
      <c r="L24" s="16" t="n">
        <v>28</v>
      </c>
      <c r="M24" s="16" t="n">
        <v>151</v>
      </c>
      <c r="N24" s="16" t="n">
        <v>86</v>
      </c>
      <c r="O24" s="16"/>
    </row>
    <row r="25" customFormat="false" ht="15" hidden="false" customHeight="false" outlineLevel="0" collapsed="false">
      <c r="A25" s="15" t="n">
        <v>46259</v>
      </c>
      <c r="B25" s="16" t="n">
        <v>22</v>
      </c>
      <c r="C25" s="16" t="n">
        <v>424</v>
      </c>
      <c r="D25" s="16" t="n">
        <v>409</v>
      </c>
      <c r="E25" s="19" t="n">
        <v>40.64</v>
      </c>
      <c r="F25" s="16" t="n">
        <v>5</v>
      </c>
      <c r="G25" s="16" t="n">
        <v>251</v>
      </c>
      <c r="H25" s="16" t="n">
        <v>144</v>
      </c>
      <c r="I25" s="16" t="n">
        <v>68</v>
      </c>
      <c r="J25" s="19" t="n">
        <v>3.7</v>
      </c>
      <c r="K25" s="16" t="n">
        <v>1841</v>
      </c>
      <c r="L25" s="19" t="n">
        <v>27.9</v>
      </c>
      <c r="M25" s="16" t="n">
        <v>149</v>
      </c>
      <c r="N25" s="16" t="n">
        <v>86</v>
      </c>
      <c r="O25" s="16"/>
    </row>
    <row r="26" customFormat="false" ht="15" hidden="false" customHeight="false" outlineLevel="0" collapsed="false">
      <c r="A26" s="15" t="n">
        <v>46260</v>
      </c>
      <c r="B26" s="16" t="n">
        <v>22</v>
      </c>
      <c r="C26" s="16" t="n">
        <v>418</v>
      </c>
      <c r="D26" s="16" t="n">
        <v>403</v>
      </c>
      <c r="E26" s="19" t="n">
        <v>39.39</v>
      </c>
      <c r="F26" s="16" t="n">
        <v>9</v>
      </c>
      <c r="G26" s="16" t="n">
        <v>264</v>
      </c>
      <c r="H26" s="16" t="n">
        <v>151</v>
      </c>
      <c r="I26" s="16" t="n">
        <v>70</v>
      </c>
      <c r="J26" s="19" t="n">
        <v>3.8</v>
      </c>
      <c r="K26" s="16" t="n">
        <v>1837</v>
      </c>
      <c r="L26" s="19" t="n">
        <v>28.1</v>
      </c>
      <c r="M26" s="16" t="n">
        <v>150</v>
      </c>
      <c r="N26" s="16" t="n">
        <v>88</v>
      </c>
      <c r="O26" s="16"/>
    </row>
    <row r="27" customFormat="false" ht="15" hidden="false" customHeight="false" outlineLevel="0" collapsed="false">
      <c r="A27" s="15" t="n">
        <v>46261</v>
      </c>
      <c r="B27" s="16" t="n">
        <v>21</v>
      </c>
      <c r="C27" s="16" t="n">
        <v>407</v>
      </c>
      <c r="D27" s="16" t="n">
        <v>392</v>
      </c>
      <c r="E27" s="19" t="n">
        <v>40.22</v>
      </c>
      <c r="F27" s="16" t="n">
        <v>7</v>
      </c>
      <c r="G27" s="16" t="n">
        <v>276</v>
      </c>
      <c r="H27" s="16" t="n">
        <v>155</v>
      </c>
      <c r="I27" s="16" t="n">
        <v>66</v>
      </c>
      <c r="J27" s="19" t="n">
        <v>3.7</v>
      </c>
      <c r="K27" s="16" t="n">
        <v>1802</v>
      </c>
      <c r="L27" s="19" t="n">
        <v>28.2</v>
      </c>
      <c r="M27" s="16" t="n">
        <v>148</v>
      </c>
      <c r="N27" s="16" t="n">
        <v>91</v>
      </c>
      <c r="O27" s="16"/>
    </row>
    <row r="28" customFormat="false" ht="15" hidden="false" customHeight="false" outlineLevel="0" collapsed="false">
      <c r="A28" s="15" t="n">
        <v>46262</v>
      </c>
      <c r="B28" s="16" t="n">
        <v>20</v>
      </c>
      <c r="C28" s="16" t="n">
        <v>399</v>
      </c>
      <c r="D28" s="16" t="n">
        <v>385</v>
      </c>
      <c r="E28" s="19" t="n">
        <v>44.77</v>
      </c>
      <c r="F28" s="16" t="n">
        <v>7</v>
      </c>
      <c r="G28" s="16" t="n">
        <v>306</v>
      </c>
      <c r="H28" s="16" t="n">
        <v>169</v>
      </c>
      <c r="I28" s="16" t="n">
        <v>65</v>
      </c>
      <c r="J28" s="19" t="n">
        <v>3.5</v>
      </c>
      <c r="K28" s="16" t="n">
        <v>1836</v>
      </c>
      <c r="L28" s="19" t="n">
        <v>29.2</v>
      </c>
      <c r="M28" s="16" t="n">
        <v>158</v>
      </c>
      <c r="N28" s="16" t="n">
        <v>92</v>
      </c>
      <c r="O28" s="16" t="n">
        <v>1201</v>
      </c>
    </row>
    <row r="29" customFormat="false" ht="15" hidden="false" customHeight="false" outlineLevel="0" collapsed="false">
      <c r="A29" s="15" t="n">
        <v>46263</v>
      </c>
      <c r="B29" s="16" t="n">
        <v>20</v>
      </c>
      <c r="C29" s="16" t="n">
        <v>382</v>
      </c>
      <c r="D29" s="16" t="n">
        <v>368</v>
      </c>
      <c r="E29" s="19" t="n">
        <v>42.58</v>
      </c>
      <c r="F29" s="16" t="n">
        <v>7</v>
      </c>
      <c r="G29" s="16" t="n">
        <v>357</v>
      </c>
      <c r="H29" s="16" t="n">
        <v>200</v>
      </c>
      <c r="I29" s="16" t="n">
        <v>65</v>
      </c>
      <c r="J29" s="19" t="n">
        <v>3.6</v>
      </c>
      <c r="K29" s="16" t="n">
        <v>1820</v>
      </c>
      <c r="L29" s="19" t="n">
        <v>29.4</v>
      </c>
      <c r="M29" s="16" t="n">
        <v>154</v>
      </c>
      <c r="N29" s="16" t="n">
        <v>94</v>
      </c>
      <c r="O29" s="16" t="n">
        <v>766</v>
      </c>
    </row>
    <row r="30" customFormat="false" ht="15" hidden="false" customHeight="false" outlineLevel="0" collapsed="false">
      <c r="A30" s="15" t="n">
        <v>46265</v>
      </c>
      <c r="B30" s="16" t="n">
        <v>21</v>
      </c>
      <c r="C30" s="16" t="n">
        <v>364</v>
      </c>
      <c r="D30" s="16" t="n">
        <v>349</v>
      </c>
      <c r="E30" s="19" t="n">
        <v>42.93</v>
      </c>
      <c r="F30" s="16" t="n">
        <v>7</v>
      </c>
      <c r="G30" s="16" t="n">
        <v>375</v>
      </c>
      <c r="H30" s="16" t="n">
        <v>204</v>
      </c>
      <c r="I30" s="16" t="n">
        <v>67</v>
      </c>
      <c r="J30" s="19" t="n">
        <v>3.8</v>
      </c>
      <c r="K30" s="16" t="n">
        <v>1757</v>
      </c>
      <c r="L30" s="19" t="n">
        <v>29.4</v>
      </c>
      <c r="M30" s="16" t="n">
        <v>151</v>
      </c>
      <c r="N30" s="16" t="n">
        <v>95</v>
      </c>
      <c r="O30" s="16" t="n">
        <v>1022</v>
      </c>
    </row>
    <row r="31" customFormat="false" ht="15" hidden="false" customHeight="false" outlineLevel="0" collapsed="false">
      <c r="A31" s="15" t="n">
        <v>46266</v>
      </c>
      <c r="B31" s="16" t="n">
        <v>22</v>
      </c>
      <c r="C31" s="16" t="n">
        <v>356</v>
      </c>
      <c r="D31" s="16" t="n">
        <v>340</v>
      </c>
      <c r="E31" s="19" t="n">
        <v>41.98</v>
      </c>
      <c r="F31" s="16" t="n">
        <v>7</v>
      </c>
      <c r="G31" s="16" t="n">
        <v>405</v>
      </c>
      <c r="H31" s="16" t="n">
        <v>222</v>
      </c>
      <c r="I31" s="16" t="n">
        <v>66</v>
      </c>
      <c r="J31" s="19" t="n">
        <v>3.8</v>
      </c>
      <c r="K31" s="16" t="n">
        <v>1718</v>
      </c>
      <c r="L31" s="19" t="n">
        <v>29.2</v>
      </c>
      <c r="M31" s="16" t="n">
        <v>148</v>
      </c>
      <c r="N31" s="16" t="n">
        <v>48</v>
      </c>
      <c r="O31" s="16" t="n">
        <v>500</v>
      </c>
    </row>
    <row r="32" customFormat="false" ht="15" hidden="false" customHeight="false" outlineLevel="0" collapsed="false">
      <c r="A32" s="15" t="n">
        <v>46268</v>
      </c>
      <c r="B32" s="16" t="n">
        <v>20</v>
      </c>
      <c r="C32" s="16" t="n">
        <v>339</v>
      </c>
      <c r="D32" s="16" t="n">
        <v>322</v>
      </c>
      <c r="E32" s="19" t="n">
        <v>41.14</v>
      </c>
      <c r="F32" s="16" t="n">
        <v>7</v>
      </c>
      <c r="G32" s="16" t="n">
        <v>440</v>
      </c>
      <c r="H32" s="16" t="n">
        <v>254</v>
      </c>
      <c r="I32" s="16" t="n">
        <v>65</v>
      </c>
      <c r="J32" s="19" t="n">
        <v>3.9</v>
      </c>
      <c r="K32" s="16" t="n">
        <v>1657</v>
      </c>
      <c r="L32" s="19" t="n">
        <v>28.7</v>
      </c>
      <c r="M32" s="16" t="n">
        <v>136</v>
      </c>
      <c r="N32" s="16" t="n">
        <v>99</v>
      </c>
      <c r="O32" s="16" t="n">
        <v>1115</v>
      </c>
    </row>
    <row r="33" customFormat="false" ht="15" hidden="false" customHeight="false" outlineLevel="0" collapsed="false">
      <c r="A33" s="15" t="n">
        <v>46269</v>
      </c>
      <c r="B33" s="16" t="n">
        <v>20</v>
      </c>
      <c r="C33" s="16" t="n">
        <v>334</v>
      </c>
      <c r="D33" s="16" t="n">
        <v>317</v>
      </c>
      <c r="E33" s="19" t="n">
        <v>41.77</v>
      </c>
      <c r="F33" s="16" t="n">
        <v>7</v>
      </c>
      <c r="G33" s="16" t="n">
        <v>462</v>
      </c>
      <c r="H33" s="16" t="n">
        <v>259</v>
      </c>
      <c r="I33" s="16" t="n">
        <v>62</v>
      </c>
      <c r="J33" s="19" t="n">
        <v>3.7</v>
      </c>
      <c r="K33" s="16" t="n">
        <v>1679</v>
      </c>
      <c r="L33" s="19" t="n">
        <v>29.1</v>
      </c>
      <c r="M33" s="16" t="n">
        <v>134</v>
      </c>
      <c r="N33" s="16" t="n">
        <v>100</v>
      </c>
      <c r="O33" s="16" t="n">
        <v>876</v>
      </c>
    </row>
    <row r="34" customFormat="false" ht="15" hidden="false" customHeight="false" outlineLevel="0" collapsed="false">
      <c r="A34" s="15" t="n">
        <v>46270</v>
      </c>
      <c r="B34" s="16" t="n">
        <v>20</v>
      </c>
      <c r="C34" s="16" t="n">
        <v>329</v>
      </c>
      <c r="D34" s="16" t="n">
        <v>314</v>
      </c>
      <c r="E34" s="19" t="n">
        <v>41.86</v>
      </c>
      <c r="F34" s="16" t="n">
        <v>7</v>
      </c>
      <c r="G34" s="16" t="n">
        <v>485</v>
      </c>
      <c r="H34" s="16" t="n">
        <v>268</v>
      </c>
      <c r="I34" s="16" t="n">
        <v>64</v>
      </c>
      <c r="J34" s="19" t="n">
        <v>3.8</v>
      </c>
      <c r="K34" s="16" t="n">
        <v>1704</v>
      </c>
      <c r="L34" s="19" t="n">
        <v>29.4</v>
      </c>
      <c r="M34" s="16" t="n">
        <v>134</v>
      </c>
      <c r="N34" s="16" t="n">
        <v>101</v>
      </c>
      <c r="O34" s="16" t="n">
        <v>1173</v>
      </c>
    </row>
    <row r="35" customFormat="false" ht="15" hidden="false" customHeight="false" outlineLevel="0" collapsed="false">
      <c r="A35" s="15" t="n">
        <v>46272</v>
      </c>
      <c r="B35" s="16" t="n">
        <v>20</v>
      </c>
      <c r="C35" s="16" t="n">
        <v>333</v>
      </c>
      <c r="D35" s="16" t="n">
        <v>317</v>
      </c>
      <c r="E35" s="19" t="n">
        <v>41.88</v>
      </c>
      <c r="F35" s="16" t="n">
        <v>7</v>
      </c>
      <c r="G35" s="16" t="n">
        <v>499</v>
      </c>
      <c r="H35" s="16" t="n">
        <v>280</v>
      </c>
      <c r="I35" s="16" t="n">
        <v>62</v>
      </c>
      <c r="J35" s="19" t="n">
        <v>3.6</v>
      </c>
      <c r="K35" s="16" t="n">
        <v>1713</v>
      </c>
      <c r="L35" s="19" t="n">
        <v>29.6</v>
      </c>
      <c r="M35" s="16" t="n">
        <v>133</v>
      </c>
      <c r="N35" s="16" t="n">
        <v>102</v>
      </c>
      <c r="O35" s="16" t="n">
        <v>892</v>
      </c>
    </row>
    <row r="36" customFormat="false" ht="15" hidden="false" customHeight="false" outlineLevel="0" collapsed="false">
      <c r="A36" s="15" t="n">
        <v>46273</v>
      </c>
      <c r="B36" s="16" t="n">
        <v>21</v>
      </c>
      <c r="C36" s="16" t="n">
        <v>338</v>
      </c>
      <c r="D36" s="16" t="n">
        <v>317</v>
      </c>
      <c r="E36" s="19" t="n">
        <v>42.41</v>
      </c>
      <c r="F36" s="16" t="n">
        <v>7</v>
      </c>
      <c r="G36" s="16" t="n">
        <v>514</v>
      </c>
      <c r="H36" s="16" t="n">
        <v>285</v>
      </c>
      <c r="I36" s="16" t="n">
        <v>61</v>
      </c>
      <c r="J36" s="19" t="n">
        <v>3.6</v>
      </c>
      <c r="K36" s="16" t="n">
        <v>1681</v>
      </c>
      <c r="L36" s="19" t="n">
        <v>29.2</v>
      </c>
      <c r="M36" s="16" t="n">
        <v>133</v>
      </c>
      <c r="N36" s="16" t="n">
        <v>103</v>
      </c>
      <c r="O36" s="16" t="n">
        <v>1045</v>
      </c>
    </row>
    <row r="37" customFormat="false" ht="15" hidden="false" customHeight="false" outlineLevel="0" collapsed="false">
      <c r="A37" s="15" t="n">
        <v>46274</v>
      </c>
      <c r="B37" s="16" t="n">
        <v>21</v>
      </c>
      <c r="C37" s="16" t="n">
        <v>336</v>
      </c>
      <c r="D37" s="16" t="n">
        <v>315</v>
      </c>
      <c r="E37" s="19" t="n">
        <v>42.75</v>
      </c>
      <c r="F37" s="16" t="n">
        <v>7</v>
      </c>
      <c r="G37" s="16" t="n">
        <v>538</v>
      </c>
      <c r="H37" s="16" t="n">
        <v>298</v>
      </c>
      <c r="I37" s="16" t="n">
        <v>61</v>
      </c>
      <c r="J37" s="19" t="n">
        <v>3.8</v>
      </c>
      <c r="K37" s="16" t="n">
        <v>1596</v>
      </c>
      <c r="L37" s="19" t="n">
        <v>28.5</v>
      </c>
      <c r="M37" s="16" t="n">
        <v>122</v>
      </c>
      <c r="N37" s="16" t="n">
        <v>104</v>
      </c>
      <c r="O37" s="16" t="n">
        <v>1000</v>
      </c>
    </row>
    <row r="38" customFormat="false" ht="15" hidden="false" customHeight="false" outlineLevel="0" collapsed="false">
      <c r="A38" s="15" t="n">
        <v>46275</v>
      </c>
      <c r="B38" s="16" t="n">
        <v>21</v>
      </c>
      <c r="C38" s="16" t="n">
        <v>344</v>
      </c>
      <c r="D38" s="16" t="n">
        <v>320</v>
      </c>
      <c r="E38" s="19" t="n">
        <v>43.09</v>
      </c>
      <c r="F38" s="16" t="n">
        <v>7</v>
      </c>
      <c r="G38" s="16" t="n">
        <v>557</v>
      </c>
      <c r="H38" s="16" t="n">
        <v>307</v>
      </c>
      <c r="I38" s="16" t="n">
        <v>53</v>
      </c>
      <c r="J38" s="19" t="n">
        <v>3.4</v>
      </c>
      <c r="K38" s="16" t="n">
        <v>1546</v>
      </c>
      <c r="L38" s="19" t="n">
        <v>29.4</v>
      </c>
      <c r="M38" s="16" t="n">
        <v>107</v>
      </c>
      <c r="N38" s="16" t="n">
        <v>106</v>
      </c>
      <c r="O38" s="16" t="n">
        <v>1094</v>
      </c>
    </row>
    <row r="39" customFormat="false" ht="15" hidden="false" customHeight="false" outlineLevel="0" collapsed="false">
      <c r="A39" s="15" t="n">
        <v>46276</v>
      </c>
      <c r="B39" s="16" t="n">
        <v>21</v>
      </c>
      <c r="C39" s="16" t="n">
        <v>354</v>
      </c>
      <c r="D39" s="16" t="n">
        <v>329</v>
      </c>
      <c r="E39" s="19" t="n">
        <v>42.91</v>
      </c>
      <c r="F39" s="16" t="n">
        <v>7</v>
      </c>
      <c r="G39" s="16" t="n">
        <v>571</v>
      </c>
      <c r="H39" s="16" t="n">
        <v>315</v>
      </c>
      <c r="I39" s="16" t="n">
        <v>48</v>
      </c>
      <c r="J39" s="19" t="n">
        <v>3.3</v>
      </c>
      <c r="K39" s="16" t="n">
        <v>1468</v>
      </c>
      <c r="L39" s="19" t="n">
        <v>30.3</v>
      </c>
      <c r="M39" s="16" t="n">
        <v>107</v>
      </c>
      <c r="N39" s="16" t="n">
        <v>106</v>
      </c>
      <c r="O39" s="16" t="n">
        <v>959</v>
      </c>
    </row>
    <row r="40" customFormat="false" ht="15" hidden="false" customHeight="false" outlineLevel="0" collapsed="false">
      <c r="A40" s="15" t="n">
        <v>46279</v>
      </c>
      <c r="B40" s="16" t="n">
        <v>21</v>
      </c>
      <c r="C40" s="16" t="n">
        <v>368</v>
      </c>
      <c r="D40" s="16" t="n">
        <v>338</v>
      </c>
      <c r="E40" s="19" t="n">
        <v>42.35</v>
      </c>
      <c r="F40" s="16" t="n">
        <v>7</v>
      </c>
      <c r="G40" s="16" t="n">
        <v>595</v>
      </c>
      <c r="H40" s="16" t="n">
        <v>347</v>
      </c>
      <c r="I40" s="16" t="n">
        <v>46</v>
      </c>
      <c r="J40" s="19" t="n">
        <v>3.5</v>
      </c>
      <c r="K40" s="16" t="n">
        <v>1333</v>
      </c>
      <c r="L40" s="19" t="n">
        <v>30.8</v>
      </c>
      <c r="M40" s="16" t="n">
        <v>98</v>
      </c>
      <c r="N40" s="16" t="n">
        <v>109</v>
      </c>
      <c r="O40" s="16" t="n">
        <v>571</v>
      </c>
    </row>
    <row r="41" customFormat="false" ht="15" hidden="false" customHeight="false" outlineLevel="0" collapsed="false">
      <c r="A41" s="15" t="n">
        <v>46280</v>
      </c>
      <c r="B41" s="16" t="n">
        <v>21</v>
      </c>
      <c r="C41" s="16" t="n">
        <v>376</v>
      </c>
      <c r="D41" s="16" t="n">
        <v>345</v>
      </c>
      <c r="E41" s="19" t="n">
        <v>42.18</v>
      </c>
      <c r="F41" s="16" t="n">
        <v>7</v>
      </c>
      <c r="G41" s="16" t="n">
        <v>614</v>
      </c>
      <c r="H41" s="16" t="n">
        <v>365</v>
      </c>
      <c r="I41" s="16" t="n">
        <v>46</v>
      </c>
      <c r="J41" s="19" t="n">
        <v>3.5</v>
      </c>
      <c r="K41" s="16" t="n">
        <v>1318</v>
      </c>
      <c r="L41" s="19" t="n">
        <v>30.8</v>
      </c>
      <c r="M41" s="16" t="n">
        <v>95</v>
      </c>
      <c r="N41" s="16" t="n">
        <v>110</v>
      </c>
      <c r="O41" s="16" t="n">
        <v>350</v>
      </c>
    </row>
    <row r="42" customFormat="false" ht="15" hidden="false" customHeight="false" outlineLevel="0" collapsed="false">
      <c r="A42" s="15" t="n">
        <v>46281</v>
      </c>
      <c r="B42" s="16" t="n">
        <v>18</v>
      </c>
      <c r="C42" s="16" t="n">
        <v>378</v>
      </c>
      <c r="D42" s="16" t="n">
        <v>346</v>
      </c>
      <c r="E42" s="19" t="n">
        <v>42.02</v>
      </c>
      <c r="F42" s="16" t="n">
        <v>7</v>
      </c>
      <c r="G42" s="16" t="n">
        <v>614</v>
      </c>
      <c r="H42" s="16" t="n">
        <v>368</v>
      </c>
      <c r="I42" s="16" t="n">
        <v>47</v>
      </c>
      <c r="J42" s="19" t="n">
        <v>3.6</v>
      </c>
      <c r="K42" s="16" t="n">
        <v>1299</v>
      </c>
      <c r="L42" s="19" t="n">
        <v>30.6</v>
      </c>
      <c r="M42" s="16" t="n">
        <v>93</v>
      </c>
      <c r="N42" s="16" t="n">
        <v>112</v>
      </c>
      <c r="O42" s="16" t="n">
        <v>344</v>
      </c>
    </row>
    <row r="43" customFormat="false" ht="15" hidden="false" customHeight="false" outlineLevel="0" collapsed="false">
      <c r="A43" s="15" t="n">
        <v>46282</v>
      </c>
      <c r="B43" s="16" t="n">
        <v>18</v>
      </c>
      <c r="C43" s="16" t="n">
        <v>386</v>
      </c>
      <c r="D43" s="16" t="n">
        <v>353</v>
      </c>
      <c r="E43" s="19" t="n">
        <v>41.07</v>
      </c>
      <c r="F43" s="16" t="n">
        <v>7</v>
      </c>
      <c r="G43" s="16" t="n">
        <v>599</v>
      </c>
      <c r="H43" s="16" t="n">
        <v>366</v>
      </c>
      <c r="I43" s="16" t="n">
        <v>43</v>
      </c>
      <c r="J43" s="19" t="n">
        <v>3.6</v>
      </c>
      <c r="K43" s="16" t="n">
        <v>1192</v>
      </c>
      <c r="L43" s="19" t="n">
        <v>31.1</v>
      </c>
      <c r="M43" s="16" t="n">
        <v>89</v>
      </c>
      <c r="N43" s="16" t="n">
        <v>112</v>
      </c>
      <c r="O43" s="16" t="n">
        <v>315</v>
      </c>
    </row>
    <row r="44" customFormat="false" ht="15" hidden="false" customHeight="false" outlineLevel="0" collapsed="false">
      <c r="A44" s="15" t="n">
        <v>46283</v>
      </c>
      <c r="B44" s="16" t="n">
        <v>18</v>
      </c>
      <c r="C44" s="16" t="n">
        <v>392</v>
      </c>
      <c r="D44" s="16" t="n">
        <v>358</v>
      </c>
      <c r="E44" s="19" t="n">
        <v>41.75</v>
      </c>
      <c r="F44" s="16" t="n">
        <v>7</v>
      </c>
      <c r="G44" s="16" t="n">
        <v>606</v>
      </c>
      <c r="H44" s="16" t="n">
        <v>381</v>
      </c>
      <c r="I44" s="16" t="n">
        <v>44</v>
      </c>
      <c r="J44" s="19" t="n">
        <v>3.7</v>
      </c>
      <c r="K44" s="16" t="n">
        <v>1203</v>
      </c>
      <c r="L44" s="19" t="n">
        <v>30.8</v>
      </c>
      <c r="M44" s="16" t="n">
        <v>91</v>
      </c>
      <c r="N44" s="16" t="n">
        <v>113</v>
      </c>
      <c r="O44" s="16" t="n">
        <v>309</v>
      </c>
    </row>
    <row r="45" customFormat="false" ht="15" hidden="false" customHeight="false" outlineLevel="0" collapsed="false">
      <c r="A45" s="15" t="n">
        <v>46284</v>
      </c>
      <c r="B45" s="16" t="n">
        <v>19</v>
      </c>
      <c r="C45" s="16" t="n">
        <v>607</v>
      </c>
      <c r="D45" s="16" t="n">
        <v>573</v>
      </c>
      <c r="E45" s="19" t="n">
        <v>39.29</v>
      </c>
      <c r="F45" s="16" t="n">
        <v>5</v>
      </c>
      <c r="G45" s="16" t="n">
        <v>593</v>
      </c>
      <c r="H45" s="16" t="n">
        <v>389</v>
      </c>
      <c r="I45" s="16" t="n">
        <v>43</v>
      </c>
      <c r="J45" s="19" t="n">
        <v>3.6</v>
      </c>
      <c r="K45" s="16" t="n">
        <v>1188</v>
      </c>
      <c r="L45" s="19" t="n">
        <v>30.8</v>
      </c>
      <c r="M45" s="16" t="n">
        <v>90</v>
      </c>
      <c r="N45" s="16" t="n">
        <v>115</v>
      </c>
      <c r="O45" s="16" t="n">
        <v>346</v>
      </c>
    </row>
    <row r="46" customFormat="false" ht="15" hidden="false" customHeight="false" outlineLevel="0" collapsed="false">
      <c r="A46" s="15" t="n">
        <v>46286</v>
      </c>
      <c r="B46" s="16" t="n">
        <v>17</v>
      </c>
      <c r="C46" s="16" t="n">
        <v>656</v>
      </c>
      <c r="D46" s="16" t="n">
        <v>621</v>
      </c>
      <c r="E46" s="19" t="n">
        <v>38.21</v>
      </c>
      <c r="F46" s="16" t="n">
        <v>5</v>
      </c>
      <c r="G46" s="16" t="n">
        <v>615</v>
      </c>
      <c r="H46" s="16" t="n">
        <v>413</v>
      </c>
      <c r="I46" s="16" t="n">
        <v>36</v>
      </c>
      <c r="J46" s="19" t="n">
        <v>3.1</v>
      </c>
      <c r="K46" s="16" t="n">
        <v>1146</v>
      </c>
      <c r="L46" s="19" t="n">
        <v>31.3</v>
      </c>
      <c r="M46" s="16" t="n">
        <v>97</v>
      </c>
      <c r="N46" s="16" t="n">
        <v>116</v>
      </c>
      <c r="O46" s="16" t="n">
        <v>330</v>
      </c>
    </row>
    <row r="47" customFormat="false" ht="15" hidden="false" customHeight="false" outlineLevel="0" collapsed="false">
      <c r="A47" s="15" t="n">
        <v>46287</v>
      </c>
      <c r="B47" s="16" t="n">
        <v>16</v>
      </c>
      <c r="C47" s="16" t="n">
        <v>668</v>
      </c>
      <c r="D47" s="16" t="n">
        <v>633</v>
      </c>
      <c r="E47" s="19" t="n">
        <v>36.23</v>
      </c>
      <c r="F47" s="16" t="n">
        <v>2</v>
      </c>
      <c r="G47" s="16" t="n">
        <v>552</v>
      </c>
      <c r="H47" s="16" t="n">
        <v>364</v>
      </c>
      <c r="I47" s="16" t="n">
        <v>36</v>
      </c>
      <c r="J47" s="19" t="n">
        <v>3.2</v>
      </c>
      <c r="K47" s="16" t="n">
        <v>1130</v>
      </c>
      <c r="L47" s="19" t="n">
        <v>31.1</v>
      </c>
      <c r="M47" s="16" t="n">
        <v>97</v>
      </c>
      <c r="N47" s="16" t="n">
        <v>117</v>
      </c>
      <c r="O47" s="16" t="n">
        <v>536</v>
      </c>
    </row>
    <row r="48" customFormat="false" ht="15" hidden="false" customHeight="false" outlineLevel="0" collapsed="false">
      <c r="A48" s="15" t="n">
        <v>46288</v>
      </c>
      <c r="B48" s="16" t="n">
        <v>15</v>
      </c>
      <c r="C48" s="16" t="n">
        <v>684</v>
      </c>
      <c r="D48" s="16" t="n">
        <v>648</v>
      </c>
      <c r="E48" s="19" t="n">
        <v>36.77</v>
      </c>
      <c r="F48" s="16" t="n">
        <v>0</v>
      </c>
      <c r="G48" s="16" t="n">
        <v>563</v>
      </c>
      <c r="H48" s="16" t="n">
        <v>373</v>
      </c>
      <c r="I48" s="16" t="n">
        <v>34</v>
      </c>
      <c r="J48" s="19" t="n">
        <v>3.1</v>
      </c>
      <c r="K48" s="16" t="n">
        <v>1104</v>
      </c>
      <c r="L48" s="16" t="n">
        <v>31</v>
      </c>
      <c r="M48" s="16" t="n">
        <v>96</v>
      </c>
      <c r="N48" s="16" t="n">
        <v>118</v>
      </c>
      <c r="O48" s="16" t="n">
        <v>331</v>
      </c>
    </row>
    <row r="49" customFormat="false" ht="15" hidden="false" customHeight="false" outlineLevel="0" collapsed="false">
      <c r="A49" s="15" t="n">
        <v>46289</v>
      </c>
      <c r="B49" s="16" t="n">
        <v>12</v>
      </c>
      <c r="C49" s="16" t="n">
        <v>697</v>
      </c>
      <c r="D49" s="16" t="n">
        <v>661</v>
      </c>
      <c r="E49" s="19" t="n">
        <v>36.87</v>
      </c>
      <c r="F49" s="16" t="n">
        <v>1</v>
      </c>
      <c r="G49" s="16" t="n">
        <v>575</v>
      </c>
      <c r="H49" s="16" t="n">
        <v>383</v>
      </c>
      <c r="I49" s="16" t="n">
        <v>34</v>
      </c>
      <c r="J49" s="19" t="n">
        <v>3.1</v>
      </c>
      <c r="K49" s="16" t="n">
        <v>1087</v>
      </c>
      <c r="L49" s="19" t="n">
        <v>31.1</v>
      </c>
      <c r="M49" s="16" t="n">
        <v>95</v>
      </c>
      <c r="N49" s="16" t="n">
        <v>119</v>
      </c>
      <c r="O49" s="16" t="n">
        <v>328</v>
      </c>
    </row>
    <row r="50" customFormat="false" ht="15" hidden="false" customHeight="false" outlineLevel="0" collapsed="false">
      <c r="A50" s="15" t="n">
        <v>46290</v>
      </c>
      <c r="B50" s="16" t="n">
        <v>12</v>
      </c>
      <c r="C50" s="16" t="n">
        <v>699</v>
      </c>
      <c r="D50" s="16" t="n">
        <v>663</v>
      </c>
      <c r="E50" s="19" t="n">
        <v>33.9</v>
      </c>
      <c r="F50" s="16" t="n">
        <v>3</v>
      </c>
      <c r="G50" s="16" t="n">
        <v>584</v>
      </c>
      <c r="H50" s="16" t="n">
        <v>399</v>
      </c>
      <c r="I50" s="16" t="n">
        <v>34</v>
      </c>
      <c r="J50" s="19" t="n">
        <v>3.3</v>
      </c>
      <c r="K50" s="16" t="n">
        <v>1034</v>
      </c>
      <c r="L50" s="19" t="n">
        <v>29.1</v>
      </c>
      <c r="M50" s="16" t="n">
        <v>86</v>
      </c>
      <c r="N50" s="16" t="n">
        <v>119</v>
      </c>
      <c r="O50" s="16" t="n">
        <v>336</v>
      </c>
    </row>
    <row r="51" customFormat="false" ht="15" hidden="false" customHeight="false" outlineLevel="0" collapsed="false">
      <c r="A51" s="15" t="n">
        <v>46291</v>
      </c>
      <c r="B51" s="16" t="n">
        <v>14</v>
      </c>
      <c r="C51" s="16" t="n">
        <v>701</v>
      </c>
      <c r="D51" s="16" t="n">
        <v>665</v>
      </c>
      <c r="E51" s="19" t="n">
        <v>34.59</v>
      </c>
      <c r="F51" s="16" t="n">
        <v>3</v>
      </c>
      <c r="G51" s="16" t="n">
        <v>558</v>
      </c>
      <c r="H51" s="16" t="n">
        <v>387</v>
      </c>
      <c r="I51" s="16" t="n">
        <v>34</v>
      </c>
      <c r="J51" s="19" t="n">
        <v>3.4</v>
      </c>
      <c r="K51" s="16" t="n">
        <v>1013</v>
      </c>
      <c r="L51" s="16" t="n">
        <v>28</v>
      </c>
      <c r="M51" s="16" t="n">
        <v>81</v>
      </c>
      <c r="N51" s="16" t="n">
        <v>119</v>
      </c>
      <c r="O51" s="16" t="n">
        <v>337</v>
      </c>
    </row>
    <row r="52" customFormat="false" ht="15" hidden="false" customHeight="false" outlineLevel="0" collapsed="false">
      <c r="A52" s="15" t="n">
        <v>46293</v>
      </c>
      <c r="B52" s="16" t="n">
        <v>17</v>
      </c>
      <c r="C52" s="16" t="n">
        <v>745</v>
      </c>
      <c r="D52" s="16" t="n">
        <v>709</v>
      </c>
      <c r="E52" s="19" t="n">
        <v>33.88</v>
      </c>
      <c r="F52" s="16" t="n">
        <v>3</v>
      </c>
      <c r="G52" s="16" t="n">
        <v>552</v>
      </c>
      <c r="H52" s="16" t="n">
        <v>392</v>
      </c>
      <c r="I52" s="16" t="n">
        <v>31</v>
      </c>
      <c r="J52" s="16" t="n">
        <v>3</v>
      </c>
      <c r="K52" s="16" t="n">
        <v>1039</v>
      </c>
      <c r="L52" s="19" t="n">
        <v>26.6</v>
      </c>
      <c r="M52" s="16" t="n">
        <v>78</v>
      </c>
      <c r="N52" s="16" t="n">
        <v>119</v>
      </c>
      <c r="O52" s="16" t="n">
        <v>334</v>
      </c>
    </row>
    <row r="53" customFormat="false" ht="15" hidden="false" customHeight="false" outlineLevel="0" collapsed="false">
      <c r="A53" s="15" t="n">
        <v>46294</v>
      </c>
      <c r="B53" s="16" t="n">
        <v>17</v>
      </c>
      <c r="C53" s="16" t="n">
        <v>850</v>
      </c>
      <c r="D53" s="16" t="n">
        <v>814</v>
      </c>
      <c r="E53" s="19" t="n">
        <v>34.59</v>
      </c>
      <c r="F53" s="16" t="n">
        <v>3</v>
      </c>
      <c r="G53" s="16" t="n">
        <v>555</v>
      </c>
      <c r="H53" s="16" t="n">
        <v>393</v>
      </c>
      <c r="I53" s="16" t="n">
        <v>32</v>
      </c>
      <c r="J53" s="16" t="n">
        <v>3</v>
      </c>
      <c r="K53" s="16" t="n">
        <v>1051</v>
      </c>
      <c r="L53" s="16" t="n">
        <v>26</v>
      </c>
      <c r="M53" s="16" t="n">
        <v>80</v>
      </c>
      <c r="N53" s="16" t="n">
        <v>119</v>
      </c>
      <c r="O53" s="16" t="n">
        <v>323</v>
      </c>
    </row>
    <row r="54" customFormat="false" ht="15" hidden="false" customHeight="false" outlineLevel="0" collapsed="false">
      <c r="A54" s="15" t="n">
        <v>46295</v>
      </c>
      <c r="B54" s="16" t="n">
        <v>16</v>
      </c>
      <c r="C54" s="16" t="n">
        <v>918</v>
      </c>
      <c r="D54" s="16" t="n">
        <v>882</v>
      </c>
      <c r="E54" s="19" t="n">
        <v>33.99</v>
      </c>
      <c r="F54" s="16" t="n">
        <v>4</v>
      </c>
      <c r="G54" s="16" t="n">
        <v>559</v>
      </c>
      <c r="H54" s="16" t="n">
        <v>394</v>
      </c>
      <c r="I54" s="16" t="n">
        <v>30</v>
      </c>
      <c r="J54" s="19" t="n">
        <v>2.8</v>
      </c>
      <c r="K54" s="16" t="n">
        <v>1056</v>
      </c>
      <c r="L54" s="19" t="n">
        <v>25.8</v>
      </c>
      <c r="M54" s="16" t="n">
        <v>80</v>
      </c>
      <c r="N54" s="16" t="n">
        <v>119</v>
      </c>
      <c r="O54" s="16" t="n">
        <v>342</v>
      </c>
    </row>
    <row r="55" customFormat="false" ht="15" hidden="false" customHeight="false" outlineLevel="0" collapsed="false">
      <c r="A55" s="15" t="n">
        <v>46296</v>
      </c>
      <c r="B55" s="16" t="n">
        <v>18</v>
      </c>
      <c r="C55" s="16" t="n">
        <v>918</v>
      </c>
      <c r="D55" s="16" t="n">
        <v>882</v>
      </c>
      <c r="E55" s="16"/>
      <c r="F55" s="16"/>
      <c r="G55" s="16"/>
      <c r="H55" s="16"/>
      <c r="I55" s="16"/>
      <c r="J55" s="16"/>
      <c r="K55" s="16"/>
      <c r="L55" s="16"/>
      <c r="M55" s="16"/>
      <c r="N55" s="16" t="n">
        <v>119</v>
      </c>
      <c r="O55" s="16" t="n">
        <v>331</v>
      </c>
    </row>
    <row r="56" customFormat="false" ht="15" hidden="false" customHeight="false" outlineLevel="0" collapsed="false">
      <c r="A56" s="15" t="n">
        <v>46297</v>
      </c>
      <c r="B56" s="16" t="n">
        <v>18</v>
      </c>
      <c r="C56" s="16" t="n">
        <v>918</v>
      </c>
      <c r="D56" s="16" t="n">
        <v>882</v>
      </c>
      <c r="E56" s="19" t="n">
        <v>34.92</v>
      </c>
      <c r="F56" s="16" t="n">
        <v>7</v>
      </c>
      <c r="G56" s="16" t="n">
        <v>587</v>
      </c>
      <c r="H56" s="16" t="n">
        <v>403</v>
      </c>
      <c r="I56" s="16" t="n">
        <v>31</v>
      </c>
      <c r="J56" s="19" t="n">
        <v>3.2</v>
      </c>
      <c r="K56" s="16" t="n">
        <v>979</v>
      </c>
      <c r="L56" s="19" t="n">
        <v>23.6</v>
      </c>
      <c r="M56" s="16" t="n">
        <v>84</v>
      </c>
      <c r="N56" s="16" t="n">
        <v>119</v>
      </c>
      <c r="O56" s="16" t="n">
        <v>531</v>
      </c>
    </row>
    <row r="57" customFormat="false" ht="15" hidden="false" customHeight="false" outlineLevel="0" collapsed="false">
      <c r="A57" s="15" t="n">
        <v>46298</v>
      </c>
      <c r="B57" s="16" t="n">
        <v>16</v>
      </c>
      <c r="C57" s="16" t="n">
        <v>918</v>
      </c>
      <c r="D57" s="16" t="n">
        <v>882</v>
      </c>
      <c r="E57" s="19" t="n">
        <v>35.45</v>
      </c>
      <c r="F57" s="16" t="n">
        <v>7</v>
      </c>
      <c r="G57" s="16" t="n">
        <v>584</v>
      </c>
      <c r="H57" s="16" t="n">
        <v>402</v>
      </c>
      <c r="I57" s="16" t="n">
        <v>28</v>
      </c>
      <c r="J57" s="16" t="n">
        <v>3</v>
      </c>
      <c r="K57" s="16" t="n">
        <v>923</v>
      </c>
      <c r="L57" s="19" t="n">
        <v>22.6</v>
      </c>
      <c r="M57" s="16" t="n">
        <v>86</v>
      </c>
      <c r="N57" s="16" t="n">
        <v>119</v>
      </c>
      <c r="O57" s="19" t="n">
        <v>326.9</v>
      </c>
    </row>
    <row r="58" customFormat="false" ht="15" hidden="false" customHeight="false" outlineLevel="0" collapsed="false">
      <c r="A58" s="15" t="n">
        <v>46300</v>
      </c>
      <c r="B58" s="16" t="n">
        <v>14</v>
      </c>
      <c r="C58" s="16" t="n">
        <v>918</v>
      </c>
      <c r="D58" s="16" t="n">
        <v>882</v>
      </c>
      <c r="E58" s="19" t="n">
        <v>35.18</v>
      </c>
      <c r="F58" s="16" t="n">
        <v>7</v>
      </c>
      <c r="G58" s="16" t="n">
        <v>597</v>
      </c>
      <c r="H58" s="16" t="n">
        <v>414</v>
      </c>
      <c r="I58" s="16" t="n">
        <v>22</v>
      </c>
      <c r="J58" s="19" t="n">
        <v>2.8</v>
      </c>
      <c r="K58" s="16" t="n">
        <v>778</v>
      </c>
      <c r="L58" s="19" t="n">
        <v>19.3</v>
      </c>
      <c r="M58" s="16" t="n">
        <v>83</v>
      </c>
      <c r="N58" s="16" t="n">
        <v>119</v>
      </c>
      <c r="O58" s="16" t="n">
        <v>326</v>
      </c>
    </row>
    <row r="59" customFormat="false" ht="15" hidden="false" customHeight="false" outlineLevel="0" collapsed="false">
      <c r="A59" s="15" t="n">
        <v>46301</v>
      </c>
      <c r="B59" s="16" t="n">
        <v>13</v>
      </c>
      <c r="C59" s="16" t="n">
        <v>918</v>
      </c>
      <c r="D59" s="16" t="n">
        <v>882</v>
      </c>
      <c r="E59" s="19" t="n">
        <v>34.22</v>
      </c>
      <c r="F59" s="16" t="n">
        <v>7</v>
      </c>
      <c r="G59" s="16" t="n">
        <v>599</v>
      </c>
      <c r="H59" s="16" t="n">
        <v>417</v>
      </c>
      <c r="I59" s="16" t="n">
        <v>22</v>
      </c>
      <c r="J59" s="19" t="n">
        <v>2.9</v>
      </c>
      <c r="K59" s="16" t="n">
        <v>763</v>
      </c>
      <c r="L59" s="19" t="n">
        <v>19.6</v>
      </c>
      <c r="M59" s="16" t="n">
        <v>83</v>
      </c>
      <c r="N59" s="16" t="n">
        <v>119</v>
      </c>
      <c r="O59" s="16" t="n">
        <v>333</v>
      </c>
    </row>
    <row r="60" customFormat="false" ht="15" hidden="false" customHeight="false" outlineLevel="0" collapsed="false">
      <c r="A60" s="15" t="n">
        <v>46302</v>
      </c>
      <c r="B60" s="16" t="n">
        <v>13</v>
      </c>
      <c r="C60" s="16" t="n">
        <v>918</v>
      </c>
      <c r="D60" s="16" t="n">
        <v>882</v>
      </c>
      <c r="E60" s="19" t="n">
        <v>32.17</v>
      </c>
      <c r="F60" s="16" t="n">
        <v>7</v>
      </c>
      <c r="G60" s="16" t="n">
        <v>600</v>
      </c>
      <c r="H60" s="16" t="n">
        <v>421</v>
      </c>
      <c r="I60" s="16" t="n">
        <v>22</v>
      </c>
      <c r="J60" s="19" t="n">
        <v>2.9</v>
      </c>
      <c r="K60" s="16" t="n">
        <v>748</v>
      </c>
      <c r="L60" s="19" t="n">
        <v>19.1</v>
      </c>
      <c r="M60" s="16" t="n">
        <v>82</v>
      </c>
      <c r="N60" s="16" t="n">
        <v>119</v>
      </c>
      <c r="O60" s="16" t="n">
        <v>338</v>
      </c>
    </row>
    <row r="61" customFormat="false" ht="15" hidden="false" customHeight="false" outlineLevel="0" collapsed="false">
      <c r="A61" s="15" t="n">
        <v>46303</v>
      </c>
      <c r="B61" s="16" t="n">
        <v>12</v>
      </c>
      <c r="C61" s="16" t="n">
        <v>917</v>
      </c>
      <c r="D61" s="16" t="n">
        <v>881</v>
      </c>
      <c r="E61" s="19" t="n">
        <v>31.01</v>
      </c>
      <c r="F61" s="16" t="n">
        <v>7</v>
      </c>
      <c r="G61" s="16" t="n">
        <v>616</v>
      </c>
      <c r="H61" s="16" t="n">
        <v>432</v>
      </c>
      <c r="I61" s="16" t="n">
        <v>22</v>
      </c>
      <c r="J61" s="19" t="n">
        <v>2.9</v>
      </c>
      <c r="K61" s="16" t="n">
        <v>748</v>
      </c>
      <c r="L61" s="19" t="n">
        <v>19.1</v>
      </c>
      <c r="M61" s="16" t="n">
        <v>82</v>
      </c>
      <c r="N61" s="16" t="n">
        <v>119</v>
      </c>
      <c r="O61" s="16" t="n">
        <v>308</v>
      </c>
    </row>
    <row r="62" customFormat="false" ht="15" hidden="false" customHeight="false" outlineLevel="0" collapsed="false">
      <c r="A62" s="15" t="n">
        <v>46304</v>
      </c>
      <c r="B62" s="16" t="n">
        <v>12</v>
      </c>
      <c r="C62" s="16" t="n">
        <v>917</v>
      </c>
      <c r="D62" s="16" t="n">
        <v>881</v>
      </c>
      <c r="E62" s="19" t="n">
        <v>34.02</v>
      </c>
      <c r="F62" s="16" t="n">
        <v>7</v>
      </c>
      <c r="G62" s="16" t="n">
        <v>635</v>
      </c>
      <c r="H62" s="16" t="n">
        <v>440</v>
      </c>
      <c r="I62" s="16" t="n">
        <v>19</v>
      </c>
      <c r="J62" s="19" t="n">
        <v>2.8</v>
      </c>
      <c r="K62" s="16" t="n">
        <v>673</v>
      </c>
      <c r="L62" s="19" t="n">
        <v>14.6</v>
      </c>
      <c r="M62" s="16" t="n">
        <v>78</v>
      </c>
      <c r="N62" s="16" t="n">
        <v>119</v>
      </c>
      <c r="O62" s="16" t="n">
        <v>327</v>
      </c>
    </row>
    <row r="63" customFormat="false" ht="15" hidden="false" customHeight="false" outlineLevel="0" collapsed="false">
      <c r="A63" s="15" t="n">
        <v>46307</v>
      </c>
      <c r="B63" s="16" t="n">
        <v>13</v>
      </c>
      <c r="C63" s="16" t="n">
        <v>917</v>
      </c>
      <c r="D63" s="16" t="n">
        <v>881</v>
      </c>
      <c r="E63" s="19" t="n">
        <v>34.78</v>
      </c>
      <c r="F63" s="16" t="n">
        <v>7</v>
      </c>
      <c r="G63" s="16" t="n">
        <v>644</v>
      </c>
      <c r="H63" s="16" t="n">
        <v>437</v>
      </c>
      <c r="I63" s="16" t="n">
        <v>22</v>
      </c>
      <c r="J63" s="19" t="n">
        <v>3.3</v>
      </c>
      <c r="K63" s="16" t="n">
        <v>673</v>
      </c>
      <c r="L63" s="16" t="n">
        <v>12</v>
      </c>
      <c r="M63" s="16" t="n">
        <v>69</v>
      </c>
      <c r="N63" s="16" t="n">
        <v>119</v>
      </c>
      <c r="O63" s="16" t="n">
        <v>313</v>
      </c>
    </row>
    <row r="64" customFormat="false" ht="15" hidden="false" customHeight="false" outlineLevel="0" collapsed="false">
      <c r="A64" s="15" t="n">
        <v>46308</v>
      </c>
      <c r="B64" s="16" t="n">
        <v>14</v>
      </c>
      <c r="C64" s="16" t="n">
        <v>917</v>
      </c>
      <c r="D64" s="16" t="n">
        <v>881</v>
      </c>
      <c r="E64" s="19" t="n">
        <v>35.91</v>
      </c>
      <c r="F64" s="16" t="n">
        <v>7</v>
      </c>
      <c r="G64" s="16" t="n">
        <v>660</v>
      </c>
      <c r="H64" s="16" t="n">
        <v>443</v>
      </c>
      <c r="I64" s="16" t="n">
        <v>24</v>
      </c>
      <c r="J64" s="19" t="n">
        <v>3.6</v>
      </c>
      <c r="K64" s="16" t="n">
        <v>673</v>
      </c>
      <c r="L64" s="16" t="n">
        <v>12</v>
      </c>
      <c r="M64" s="16" t="n">
        <v>68</v>
      </c>
      <c r="N64" s="16" t="n">
        <v>119</v>
      </c>
      <c r="O64" s="16" t="n">
        <v>316</v>
      </c>
    </row>
    <row r="65" customFormat="false" ht="15" hidden="false" customHeight="false" outlineLevel="0" collapsed="false">
      <c r="A65" s="15" t="n">
        <v>46309</v>
      </c>
      <c r="B65" s="16" t="n">
        <v>14</v>
      </c>
      <c r="C65" s="16" t="n">
        <v>915</v>
      </c>
      <c r="D65" s="16" t="n">
        <v>879</v>
      </c>
      <c r="E65" s="19" t="n">
        <v>36.76</v>
      </c>
      <c r="F65" s="16" t="n">
        <v>7</v>
      </c>
      <c r="G65" s="16" t="n">
        <v>672</v>
      </c>
      <c r="H65" s="16" t="n">
        <v>448</v>
      </c>
      <c r="I65" s="16" t="n">
        <v>23</v>
      </c>
      <c r="J65" s="19" t="n">
        <v>3.4</v>
      </c>
      <c r="K65" s="16" t="n">
        <v>672</v>
      </c>
      <c r="L65" s="19" t="n">
        <v>12.1</v>
      </c>
      <c r="M65" s="16" t="n">
        <v>67</v>
      </c>
      <c r="N65" s="16" t="n">
        <v>119</v>
      </c>
      <c r="O65" s="16" t="n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2" min="2" style="0" width="15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73</v>
      </c>
    </row>
    <row r="3" customFormat="false" ht="15" hidden="false" customHeight="false" outlineLevel="0" collapsed="false">
      <c r="A3" s="2" t="s">
        <v>74</v>
      </c>
    </row>
    <row r="4" customFormat="false" ht="15" hidden="false" customHeight="false" outlineLevel="0" collapsed="false">
      <c r="A4" s="2" t="s">
        <v>32</v>
      </c>
      <c r="B4" s="17" t="s">
        <v>13</v>
      </c>
      <c r="C4" s="17" t="s">
        <v>13</v>
      </c>
      <c r="D4" s="17" t="s">
        <v>13</v>
      </c>
      <c r="E4" s="17" t="s">
        <v>13</v>
      </c>
      <c r="F4" s="17" t="s">
        <v>13</v>
      </c>
      <c r="G4" s="17" t="s">
        <v>13</v>
      </c>
      <c r="H4" s="17" t="s">
        <v>13</v>
      </c>
      <c r="I4" s="17" t="s">
        <v>13</v>
      </c>
      <c r="J4" s="17" t="s">
        <v>13</v>
      </c>
      <c r="K4" s="17" t="s">
        <v>13</v>
      </c>
      <c r="L4" s="17" t="s">
        <v>13</v>
      </c>
    </row>
    <row r="5" customFormat="false" ht="23.85" hidden="false" customHeight="false" outlineLevel="0" collapsed="false">
      <c r="A5" s="13" t="s">
        <v>33</v>
      </c>
      <c r="B5" s="14" t="s">
        <v>75</v>
      </c>
      <c r="C5" s="14" t="s">
        <v>76</v>
      </c>
      <c r="D5" s="14" t="s">
        <v>77</v>
      </c>
      <c r="E5" s="14" t="s">
        <v>78</v>
      </c>
      <c r="F5" s="14" t="s">
        <v>79</v>
      </c>
      <c r="G5" s="14" t="s">
        <v>80</v>
      </c>
      <c r="H5" s="14" t="s">
        <v>71</v>
      </c>
      <c r="I5" s="14" t="s">
        <v>81</v>
      </c>
      <c r="J5" s="14" t="s">
        <v>72</v>
      </c>
      <c r="K5" s="14" t="s">
        <v>82</v>
      </c>
      <c r="L5" s="14" t="s">
        <v>83</v>
      </c>
    </row>
    <row r="6" customFormat="false" ht="15" hidden="false" customHeight="false" outlineLevel="0" collapsed="false">
      <c r="A6" s="15" t="n">
        <v>46230</v>
      </c>
      <c r="B6" s="16" t="n">
        <v>78</v>
      </c>
      <c r="C6" s="16" t="n">
        <v>88</v>
      </c>
      <c r="D6" s="16" t="n">
        <v>82</v>
      </c>
      <c r="E6" s="16" t="n">
        <v>78</v>
      </c>
      <c r="F6" s="16" t="n">
        <v>36</v>
      </c>
      <c r="G6" s="16" t="n">
        <v>88</v>
      </c>
      <c r="H6" s="16" t="n">
        <v>67</v>
      </c>
      <c r="I6" s="16" t="n">
        <v>72</v>
      </c>
      <c r="J6" s="16"/>
      <c r="K6" s="16"/>
      <c r="L6" s="16"/>
    </row>
    <row r="7" customFormat="false" ht="15" hidden="false" customHeight="false" outlineLevel="0" collapsed="false">
      <c r="A7" s="15" t="n">
        <v>46231</v>
      </c>
      <c r="B7" s="16" t="n">
        <v>80</v>
      </c>
      <c r="C7" s="16" t="n">
        <v>90</v>
      </c>
      <c r="D7" s="16" t="n">
        <v>84</v>
      </c>
      <c r="E7" s="16" t="n">
        <v>78</v>
      </c>
      <c r="F7" s="16" t="n">
        <v>61</v>
      </c>
      <c r="G7" s="16" t="n">
        <v>92</v>
      </c>
      <c r="H7" s="16" t="n">
        <v>67</v>
      </c>
      <c r="I7" s="16" t="n">
        <v>74</v>
      </c>
      <c r="J7" s="16"/>
      <c r="K7" s="16"/>
      <c r="L7" s="16"/>
    </row>
    <row r="8" customFormat="false" ht="15" hidden="false" customHeight="false" outlineLevel="0" collapsed="false">
      <c r="A8" s="15" t="n">
        <v>46232</v>
      </c>
      <c r="B8" s="16" t="n">
        <v>80</v>
      </c>
      <c r="C8" s="16" t="n">
        <v>90</v>
      </c>
      <c r="D8" s="16" t="n">
        <v>84</v>
      </c>
      <c r="E8" s="16" t="n">
        <v>78</v>
      </c>
      <c r="F8" s="16" t="n">
        <v>61</v>
      </c>
      <c r="G8" s="16" t="n">
        <v>92</v>
      </c>
      <c r="H8" s="16" t="n">
        <v>67</v>
      </c>
      <c r="I8" s="16" t="n">
        <v>74</v>
      </c>
      <c r="J8" s="16"/>
      <c r="K8" s="16"/>
      <c r="L8" s="16"/>
    </row>
    <row r="9" customFormat="false" ht="15" hidden="false" customHeight="false" outlineLevel="0" collapsed="false">
      <c r="A9" s="15" t="n">
        <v>46233</v>
      </c>
      <c r="B9" s="16" t="n">
        <v>80</v>
      </c>
      <c r="C9" s="16" t="n">
        <v>90</v>
      </c>
      <c r="D9" s="16" t="n">
        <v>87</v>
      </c>
      <c r="E9" s="16" t="n">
        <v>79</v>
      </c>
      <c r="F9" s="16" t="n">
        <v>61</v>
      </c>
      <c r="G9" s="16" t="n">
        <v>93</v>
      </c>
      <c r="H9" s="16" t="n">
        <v>67</v>
      </c>
      <c r="I9" s="16" t="n">
        <v>88</v>
      </c>
      <c r="J9" s="16"/>
      <c r="K9" s="16"/>
      <c r="L9" s="16"/>
    </row>
    <row r="10" customFormat="false" ht="15" hidden="false" customHeight="false" outlineLevel="0" collapsed="false">
      <c r="A10" s="15" t="n">
        <v>46234</v>
      </c>
      <c r="B10" s="16" t="n">
        <v>77</v>
      </c>
      <c r="C10" s="16" t="n">
        <v>89</v>
      </c>
      <c r="D10" s="16" t="n">
        <v>84</v>
      </c>
      <c r="E10" s="16" t="n">
        <v>76</v>
      </c>
      <c r="F10" s="16" t="n">
        <v>68</v>
      </c>
      <c r="G10" s="16" t="n">
        <v>91</v>
      </c>
      <c r="H10" s="16" t="n">
        <v>67</v>
      </c>
      <c r="I10" s="16" t="n">
        <v>82</v>
      </c>
      <c r="J10" s="16"/>
      <c r="K10" s="16"/>
      <c r="L10" s="16"/>
    </row>
    <row r="11" customFormat="false" ht="15" hidden="false" customHeight="false" outlineLevel="0" collapsed="false">
      <c r="A11" s="15" t="n">
        <v>46237</v>
      </c>
      <c r="B11" s="16" t="n">
        <v>77</v>
      </c>
      <c r="C11" s="16" t="n">
        <v>89</v>
      </c>
      <c r="D11" s="16" t="n">
        <v>84</v>
      </c>
      <c r="E11" s="16" t="n">
        <v>76</v>
      </c>
      <c r="F11" s="16" t="n">
        <v>68</v>
      </c>
      <c r="G11" s="16" t="n">
        <v>90</v>
      </c>
      <c r="H11" s="16" t="n">
        <v>67</v>
      </c>
      <c r="I11" s="16" t="n">
        <v>80</v>
      </c>
      <c r="J11" s="16"/>
      <c r="K11" s="16"/>
      <c r="L11" s="16"/>
    </row>
    <row r="12" customFormat="false" ht="15" hidden="false" customHeight="false" outlineLevel="0" collapsed="false">
      <c r="A12" s="15" t="n">
        <v>46238</v>
      </c>
      <c r="B12" s="16" t="n">
        <v>77</v>
      </c>
      <c r="C12" s="16" t="n">
        <v>89</v>
      </c>
      <c r="D12" s="16" t="n">
        <v>84</v>
      </c>
      <c r="E12" s="16" t="n">
        <v>76</v>
      </c>
      <c r="F12" s="16" t="n">
        <v>68</v>
      </c>
      <c r="G12" s="16" t="n">
        <v>93</v>
      </c>
      <c r="H12" s="16" t="n">
        <v>67</v>
      </c>
      <c r="I12" s="16" t="n">
        <v>80</v>
      </c>
      <c r="J12" s="16"/>
      <c r="K12" s="16"/>
      <c r="L12" s="16"/>
    </row>
    <row r="13" customFormat="false" ht="15" hidden="false" customHeight="false" outlineLevel="0" collapsed="false">
      <c r="A13" s="15" t="n">
        <v>46239</v>
      </c>
      <c r="B13" s="16" t="n">
        <v>79</v>
      </c>
      <c r="C13" s="16" t="n">
        <v>88</v>
      </c>
      <c r="D13" s="16" t="n">
        <v>83</v>
      </c>
      <c r="E13" s="16" t="n">
        <v>76</v>
      </c>
      <c r="F13" s="16" t="n">
        <v>76</v>
      </c>
      <c r="G13" s="16" t="n">
        <v>87</v>
      </c>
      <c r="H13" s="16" t="n">
        <v>75</v>
      </c>
      <c r="I13" s="16" t="n">
        <v>81</v>
      </c>
      <c r="J13" s="16"/>
      <c r="K13" s="16"/>
      <c r="L13" s="16"/>
    </row>
    <row r="14" customFormat="false" ht="15" hidden="false" customHeight="false" outlineLevel="0" collapsed="false">
      <c r="A14" s="15" t="n">
        <v>46241</v>
      </c>
      <c r="B14" s="16" t="n">
        <v>79</v>
      </c>
      <c r="C14" s="16" t="n">
        <v>96</v>
      </c>
      <c r="D14" s="16" t="n">
        <v>88</v>
      </c>
      <c r="E14" s="16" t="n">
        <v>76</v>
      </c>
      <c r="F14" s="16" t="n">
        <v>76</v>
      </c>
      <c r="G14" s="16" t="n">
        <v>92</v>
      </c>
      <c r="H14" s="16" t="n">
        <v>75</v>
      </c>
      <c r="I14" s="16" t="n">
        <v>87</v>
      </c>
      <c r="J14" s="16"/>
      <c r="K14" s="16"/>
      <c r="L14" s="16"/>
    </row>
    <row r="15" customFormat="false" ht="15" hidden="false" customHeight="false" outlineLevel="0" collapsed="false">
      <c r="A15" s="15" t="n">
        <v>46244</v>
      </c>
      <c r="B15" s="16" t="n">
        <v>80</v>
      </c>
      <c r="C15" s="16" t="n">
        <v>96</v>
      </c>
      <c r="D15" s="16" t="n">
        <v>88</v>
      </c>
      <c r="E15" s="16" t="n">
        <v>76</v>
      </c>
      <c r="F15" s="16" t="n">
        <v>77</v>
      </c>
      <c r="G15" s="16" t="n">
        <v>94</v>
      </c>
      <c r="H15" s="16" t="n">
        <v>76</v>
      </c>
      <c r="I15" s="16" t="n">
        <v>87</v>
      </c>
      <c r="J15" s="16"/>
      <c r="K15" s="16"/>
      <c r="L15" s="16"/>
    </row>
    <row r="16" customFormat="false" ht="15" hidden="false" customHeight="false" outlineLevel="0" collapsed="false">
      <c r="A16" s="15" t="n">
        <v>46245</v>
      </c>
      <c r="B16" s="16" t="n">
        <v>80</v>
      </c>
      <c r="C16" s="16" t="n">
        <v>96</v>
      </c>
      <c r="D16" s="16" t="n">
        <v>89</v>
      </c>
      <c r="E16" s="16" t="n">
        <v>76</v>
      </c>
      <c r="F16" s="16" t="n">
        <v>78</v>
      </c>
      <c r="G16" s="16" t="n">
        <v>96</v>
      </c>
      <c r="H16" s="16" t="n">
        <v>77</v>
      </c>
      <c r="I16" s="16" t="n">
        <v>87</v>
      </c>
      <c r="J16" s="16"/>
      <c r="K16" s="16"/>
      <c r="L16" s="16"/>
    </row>
    <row r="17" customFormat="false" ht="15" hidden="false" customHeight="false" outlineLevel="0" collapsed="false">
      <c r="A17" s="15" t="n">
        <v>46246</v>
      </c>
      <c r="B17" s="16" t="n">
        <v>81</v>
      </c>
      <c r="C17" s="16" t="n">
        <v>96</v>
      </c>
      <c r="D17" s="16" t="n">
        <v>88</v>
      </c>
      <c r="E17" s="16" t="n">
        <v>76</v>
      </c>
      <c r="F17" s="16" t="n">
        <v>79</v>
      </c>
      <c r="G17" s="16" t="n">
        <v>93</v>
      </c>
      <c r="H17" s="16" t="n">
        <v>78</v>
      </c>
      <c r="I17" s="16" t="n">
        <v>87</v>
      </c>
      <c r="J17" s="16" t="n">
        <v>697</v>
      </c>
      <c r="K17" s="16"/>
      <c r="L17" s="16"/>
    </row>
    <row r="18" customFormat="false" ht="15" hidden="false" customHeight="false" outlineLevel="0" collapsed="false">
      <c r="A18" s="15" t="n">
        <v>46247</v>
      </c>
      <c r="B18" s="16" t="n">
        <v>79</v>
      </c>
      <c r="C18" s="16" t="n">
        <v>96</v>
      </c>
      <c r="D18" s="16" t="n">
        <v>88</v>
      </c>
      <c r="E18" s="16" t="n">
        <v>76</v>
      </c>
      <c r="F18" s="16" t="n">
        <v>80</v>
      </c>
      <c r="G18" s="16" t="n">
        <v>94</v>
      </c>
      <c r="H18" s="16" t="n">
        <v>79</v>
      </c>
      <c r="I18" s="16" t="n">
        <v>87</v>
      </c>
      <c r="J18" s="16" t="n">
        <v>674</v>
      </c>
      <c r="K18" s="16"/>
      <c r="L18" s="16"/>
    </row>
    <row r="19" customFormat="false" ht="15" hidden="false" customHeight="false" outlineLevel="0" collapsed="false">
      <c r="A19" s="15" t="n">
        <v>46248</v>
      </c>
      <c r="B19" s="16" t="n">
        <v>81</v>
      </c>
      <c r="C19" s="16" t="n">
        <v>96</v>
      </c>
      <c r="D19" s="16" t="n">
        <v>89</v>
      </c>
      <c r="E19" s="16" t="n">
        <v>76</v>
      </c>
      <c r="F19" s="16" t="n">
        <v>80</v>
      </c>
      <c r="G19" s="16" t="n">
        <v>95</v>
      </c>
      <c r="H19" s="16" t="n">
        <v>79</v>
      </c>
      <c r="I19" s="16" t="n">
        <v>87</v>
      </c>
      <c r="J19" s="16" t="n">
        <v>618</v>
      </c>
      <c r="K19" s="16"/>
      <c r="L19" s="16"/>
    </row>
    <row r="20" customFormat="false" ht="15" hidden="false" customHeight="false" outlineLevel="0" collapsed="false">
      <c r="A20" s="15" t="n">
        <v>46251</v>
      </c>
      <c r="B20" s="16" t="n">
        <v>80</v>
      </c>
      <c r="C20" s="16" t="n">
        <v>96</v>
      </c>
      <c r="D20" s="16" t="n">
        <v>88</v>
      </c>
      <c r="E20" s="16" t="n">
        <v>76</v>
      </c>
      <c r="F20" s="16" t="n">
        <v>81</v>
      </c>
      <c r="G20" s="16" t="n">
        <v>94</v>
      </c>
      <c r="H20" s="16" t="n">
        <v>80</v>
      </c>
      <c r="I20" s="16" t="n">
        <v>87</v>
      </c>
      <c r="J20" s="16" t="n">
        <v>671</v>
      </c>
      <c r="K20" s="16"/>
      <c r="L20" s="16"/>
    </row>
    <row r="21" customFormat="false" ht="15" hidden="false" customHeight="false" outlineLevel="0" collapsed="false">
      <c r="A21" s="15" t="n">
        <v>46252</v>
      </c>
      <c r="B21" s="16" t="n">
        <v>80</v>
      </c>
      <c r="C21" s="16" t="n">
        <v>96</v>
      </c>
      <c r="D21" s="16" t="n">
        <v>88</v>
      </c>
      <c r="E21" s="16" t="n">
        <v>76</v>
      </c>
      <c r="F21" s="16" t="n">
        <v>82</v>
      </c>
      <c r="G21" s="16" t="n">
        <v>92</v>
      </c>
      <c r="H21" s="16" t="n">
        <v>81</v>
      </c>
      <c r="I21" s="16" t="n">
        <v>87</v>
      </c>
      <c r="J21" s="16" t="n">
        <v>761</v>
      </c>
      <c r="K21" s="16"/>
      <c r="L21" s="16"/>
    </row>
    <row r="22" customFormat="false" ht="15" hidden="false" customHeight="false" outlineLevel="0" collapsed="false">
      <c r="A22" s="15" t="n">
        <v>46253</v>
      </c>
      <c r="B22" s="16" t="n">
        <v>83</v>
      </c>
      <c r="C22" s="16" t="n">
        <v>92</v>
      </c>
      <c r="D22" s="16" t="n">
        <v>92</v>
      </c>
      <c r="E22" s="16" t="n">
        <v>91</v>
      </c>
      <c r="F22" s="16" t="n">
        <v>81</v>
      </c>
      <c r="G22" s="16" t="n">
        <v>93</v>
      </c>
      <c r="H22" s="16" t="n">
        <v>81</v>
      </c>
      <c r="I22" s="16" t="n">
        <v>96</v>
      </c>
      <c r="J22" s="16" t="n">
        <v>755</v>
      </c>
      <c r="K22" s="16"/>
      <c r="L22" s="16"/>
    </row>
    <row r="23" customFormat="false" ht="15" hidden="false" customHeight="false" outlineLevel="0" collapsed="false">
      <c r="A23" s="15" t="n">
        <v>46254</v>
      </c>
      <c r="B23" s="16" t="n">
        <v>82</v>
      </c>
      <c r="C23" s="16" t="n">
        <v>67</v>
      </c>
      <c r="D23" s="16" t="n">
        <v>84</v>
      </c>
      <c r="E23" s="16" t="n">
        <v>91</v>
      </c>
      <c r="F23" s="16" t="n">
        <v>81</v>
      </c>
      <c r="G23" s="16" t="n">
        <v>87</v>
      </c>
      <c r="H23" s="16" t="n">
        <v>16</v>
      </c>
      <c r="I23" s="16" t="n">
        <v>96</v>
      </c>
      <c r="J23" s="16" t="n">
        <v>821</v>
      </c>
      <c r="K23" s="16"/>
      <c r="L23" s="16"/>
    </row>
    <row r="24" customFormat="false" ht="15" hidden="false" customHeight="false" outlineLevel="0" collapsed="false">
      <c r="A24" s="15" t="n">
        <v>46255</v>
      </c>
      <c r="B24" s="16" t="n">
        <v>84</v>
      </c>
      <c r="C24" s="16" t="n">
        <v>67</v>
      </c>
      <c r="D24" s="16" t="n">
        <v>86</v>
      </c>
      <c r="E24" s="16" t="n">
        <v>91</v>
      </c>
      <c r="F24" s="16" t="n">
        <v>82</v>
      </c>
      <c r="G24" s="16" t="n">
        <v>94</v>
      </c>
      <c r="H24" s="16" t="n">
        <v>16</v>
      </c>
      <c r="I24" s="16" t="n">
        <v>96</v>
      </c>
      <c r="J24" s="16" t="n">
        <v>757</v>
      </c>
      <c r="K24" s="16"/>
      <c r="L24" s="16"/>
    </row>
    <row r="25" customFormat="false" ht="15" hidden="false" customHeight="false" outlineLevel="0" collapsed="false">
      <c r="A25" s="15" t="n">
        <v>46258</v>
      </c>
      <c r="B25" s="16" t="n">
        <v>85</v>
      </c>
      <c r="C25" s="16" t="n">
        <v>94</v>
      </c>
      <c r="D25" s="16" t="n">
        <v>93</v>
      </c>
      <c r="E25" s="16" t="n">
        <v>91</v>
      </c>
      <c r="F25" s="16" t="n">
        <v>84</v>
      </c>
      <c r="G25" s="16" t="n">
        <v>95</v>
      </c>
      <c r="H25" s="16" t="n">
        <v>85</v>
      </c>
      <c r="I25" s="16" t="n">
        <v>96</v>
      </c>
      <c r="J25" s="16" t="n">
        <v>700</v>
      </c>
      <c r="K25" s="16"/>
      <c r="L25" s="16"/>
    </row>
    <row r="26" customFormat="false" ht="15" hidden="false" customHeight="false" outlineLevel="0" collapsed="false">
      <c r="A26" s="15" t="n">
        <v>46259</v>
      </c>
      <c r="B26" s="16" t="n">
        <v>85</v>
      </c>
      <c r="C26" s="16" t="n">
        <v>95</v>
      </c>
      <c r="D26" s="16" t="n">
        <v>93</v>
      </c>
      <c r="E26" s="16" t="n">
        <v>91</v>
      </c>
      <c r="F26" s="16" t="n">
        <v>85</v>
      </c>
      <c r="G26" s="16" t="n">
        <v>96</v>
      </c>
      <c r="H26" s="16" t="n">
        <v>86</v>
      </c>
      <c r="I26" s="16" t="n">
        <v>96</v>
      </c>
      <c r="J26" s="16" t="n">
        <v>656</v>
      </c>
      <c r="K26" s="16"/>
      <c r="L26" s="16"/>
    </row>
    <row r="27" customFormat="false" ht="15" hidden="false" customHeight="false" outlineLevel="0" collapsed="false">
      <c r="A27" s="15" t="n">
        <v>46260</v>
      </c>
      <c r="B27" s="16" t="n">
        <v>86</v>
      </c>
      <c r="C27" s="16" t="n">
        <v>97</v>
      </c>
      <c r="D27" s="16" t="n">
        <v>94</v>
      </c>
      <c r="E27" s="16" t="n">
        <v>91</v>
      </c>
      <c r="F27" s="16" t="n">
        <v>87</v>
      </c>
      <c r="G27" s="16" t="n">
        <v>94</v>
      </c>
      <c r="H27" s="16" t="n">
        <v>88</v>
      </c>
      <c r="I27" s="16" t="n">
        <v>96</v>
      </c>
      <c r="J27" s="16" t="n">
        <v>720</v>
      </c>
      <c r="K27" s="16"/>
      <c r="L27" s="16"/>
    </row>
    <row r="28" customFormat="false" ht="15" hidden="false" customHeight="false" outlineLevel="0" collapsed="false">
      <c r="A28" s="15" t="n">
        <v>46261</v>
      </c>
      <c r="B28" s="16" t="n">
        <v>87</v>
      </c>
      <c r="C28" s="16" t="n">
        <v>97</v>
      </c>
      <c r="D28" s="16" t="n">
        <v>92</v>
      </c>
      <c r="E28" s="16" t="n">
        <v>91</v>
      </c>
      <c r="F28" s="16" t="n">
        <v>90</v>
      </c>
      <c r="G28" s="16" t="n">
        <v>86</v>
      </c>
      <c r="H28" s="16" t="n">
        <v>91</v>
      </c>
      <c r="I28" s="16" t="n">
        <v>96</v>
      </c>
      <c r="J28" s="16" t="n">
        <v>888</v>
      </c>
      <c r="K28" s="16"/>
      <c r="L28" s="16"/>
    </row>
    <row r="29" customFormat="false" ht="15" hidden="false" customHeight="false" outlineLevel="0" collapsed="false">
      <c r="A29" s="15" t="n">
        <v>46262</v>
      </c>
      <c r="B29" s="16" t="n">
        <v>88</v>
      </c>
      <c r="C29" s="16" t="n">
        <v>97</v>
      </c>
      <c r="D29" s="16" t="n">
        <v>92</v>
      </c>
      <c r="E29" s="16" t="n">
        <v>91</v>
      </c>
      <c r="F29" s="16" t="n">
        <v>91</v>
      </c>
      <c r="G29" s="16" t="n">
        <v>88</v>
      </c>
      <c r="H29" s="16" t="n">
        <v>92</v>
      </c>
      <c r="I29" s="16" t="n">
        <v>96</v>
      </c>
      <c r="J29" s="16" t="n">
        <v>862</v>
      </c>
      <c r="K29" s="16"/>
      <c r="L29" s="16"/>
    </row>
    <row r="30" customFormat="false" ht="15" hidden="false" customHeight="false" outlineLevel="0" collapsed="false">
      <c r="A30" s="15" t="n">
        <v>46268</v>
      </c>
      <c r="B30" s="16" t="n">
        <v>89</v>
      </c>
      <c r="C30" s="16" t="n">
        <v>80</v>
      </c>
      <c r="D30" s="16" t="n">
        <v>88</v>
      </c>
      <c r="E30" s="16" t="n">
        <v>92</v>
      </c>
      <c r="F30" s="16" t="n">
        <v>97</v>
      </c>
      <c r="G30" s="16" t="n">
        <v>85</v>
      </c>
      <c r="H30" s="16" t="n">
        <v>98</v>
      </c>
      <c r="I30" s="16" t="n">
        <v>96</v>
      </c>
      <c r="J30" s="16" t="n">
        <v>924</v>
      </c>
      <c r="K30" s="16"/>
      <c r="L30" s="16"/>
    </row>
    <row r="31" customFormat="false" ht="15" hidden="false" customHeight="false" outlineLevel="0" collapsed="false">
      <c r="A31" s="15" t="n">
        <v>46269</v>
      </c>
      <c r="B31" s="16" t="n">
        <v>89</v>
      </c>
      <c r="C31" s="16" t="n">
        <v>78</v>
      </c>
      <c r="D31" s="16" t="n">
        <v>87</v>
      </c>
      <c r="E31" s="16" t="n">
        <v>92</v>
      </c>
      <c r="F31" s="16"/>
      <c r="G31" s="16" t="n">
        <v>85</v>
      </c>
      <c r="H31" s="16"/>
      <c r="I31" s="16" t="n">
        <v>96</v>
      </c>
      <c r="J31" s="16" t="n">
        <v>932</v>
      </c>
      <c r="K31" s="16"/>
      <c r="L31" s="16" t="n">
        <v>204862</v>
      </c>
    </row>
    <row r="32" customFormat="false" ht="15" hidden="false" customHeight="false" outlineLevel="0" collapsed="false">
      <c r="A32" s="15" t="n">
        <v>46272</v>
      </c>
      <c r="B32" s="16" t="n">
        <v>90</v>
      </c>
      <c r="C32" s="16" t="n">
        <v>77</v>
      </c>
      <c r="D32" s="16" t="n">
        <v>88</v>
      </c>
      <c r="E32" s="16" t="n">
        <v>92</v>
      </c>
      <c r="F32" s="16" t="n">
        <v>101</v>
      </c>
      <c r="G32" s="16" t="n">
        <v>90</v>
      </c>
      <c r="H32" s="16"/>
      <c r="I32" s="16" t="n">
        <v>96</v>
      </c>
      <c r="J32" s="16" t="n">
        <v>785</v>
      </c>
      <c r="K32" s="16"/>
      <c r="L32" s="16" t="n">
        <v>210673</v>
      </c>
    </row>
    <row r="33" customFormat="false" ht="15" hidden="false" customHeight="false" outlineLevel="0" collapsed="false">
      <c r="A33" s="15" t="n">
        <v>46273</v>
      </c>
      <c r="B33" s="16" t="n">
        <v>90</v>
      </c>
      <c r="C33" s="16" t="n">
        <v>77</v>
      </c>
      <c r="D33" s="16" t="n">
        <v>87</v>
      </c>
      <c r="E33" s="16" t="n">
        <v>92</v>
      </c>
      <c r="F33" s="16" t="n">
        <v>102</v>
      </c>
      <c r="G33" s="16" t="n">
        <v>87</v>
      </c>
      <c r="H33" s="16"/>
      <c r="I33" s="16" t="n">
        <v>95</v>
      </c>
      <c r="J33" s="16" t="n">
        <v>877</v>
      </c>
      <c r="K33" s="16"/>
      <c r="L33" s="16" t="n">
        <v>213007</v>
      </c>
    </row>
    <row r="34" customFormat="false" ht="15" hidden="false" customHeight="false" outlineLevel="0" collapsed="false">
      <c r="A34" s="15" t="n">
        <v>46274</v>
      </c>
      <c r="B34" s="16" t="n">
        <v>90</v>
      </c>
      <c r="C34" s="16" t="n">
        <v>93</v>
      </c>
      <c r="D34" s="16" t="n">
        <v>91</v>
      </c>
      <c r="E34" s="16" t="n">
        <v>92</v>
      </c>
      <c r="F34" s="16" t="n">
        <v>103</v>
      </c>
      <c r="G34" s="16" t="n">
        <v>88</v>
      </c>
      <c r="H34" s="16"/>
      <c r="I34" s="16" t="n">
        <v>94</v>
      </c>
      <c r="J34" s="16" t="n">
        <v>833</v>
      </c>
      <c r="K34" s="16" t="n">
        <v>738</v>
      </c>
      <c r="L34" s="16" t="n">
        <v>215236</v>
      </c>
    </row>
    <row r="35" customFormat="false" ht="15" hidden="false" customHeight="false" outlineLevel="0" collapsed="false">
      <c r="A35" s="15" t="n">
        <v>46275</v>
      </c>
      <c r="B35" s="16" t="n">
        <v>90</v>
      </c>
      <c r="C35" s="16" t="n">
        <v>93</v>
      </c>
      <c r="D35" s="16" t="n">
        <v>90</v>
      </c>
      <c r="E35" s="16" t="n">
        <v>91</v>
      </c>
      <c r="F35" s="16" t="n">
        <v>104</v>
      </c>
      <c r="G35" s="16" t="n">
        <v>86</v>
      </c>
      <c r="H35" s="16" t="n">
        <v>105</v>
      </c>
      <c r="I35" s="16" t="n">
        <v>93</v>
      </c>
      <c r="J35" s="16" t="n">
        <v>869</v>
      </c>
      <c r="K35" s="16" t="n">
        <v>787</v>
      </c>
      <c r="L35" s="16" t="n">
        <v>216434</v>
      </c>
    </row>
    <row r="36" customFormat="false" ht="15" hidden="false" customHeight="false" outlineLevel="0" collapsed="false">
      <c r="A36" s="15" t="n">
        <v>46276</v>
      </c>
      <c r="B36" s="16" t="n">
        <v>90</v>
      </c>
      <c r="C36" s="16" t="n">
        <v>93</v>
      </c>
      <c r="D36" s="16" t="n">
        <v>88</v>
      </c>
      <c r="E36" s="16" t="n">
        <v>91</v>
      </c>
      <c r="F36" s="16" t="n">
        <v>105</v>
      </c>
      <c r="G36" s="16" t="n">
        <v>78</v>
      </c>
      <c r="H36" s="16" t="n">
        <v>106</v>
      </c>
      <c r="I36" s="16" t="n">
        <v>92</v>
      </c>
      <c r="J36" s="16" t="n">
        <v>1091</v>
      </c>
      <c r="K36" s="16" t="n">
        <v>1034</v>
      </c>
      <c r="L36" s="16" t="n">
        <v>219115</v>
      </c>
    </row>
    <row r="37" customFormat="false" ht="15" hidden="false" customHeight="false" outlineLevel="0" collapsed="false">
      <c r="A37" s="15" t="n">
        <v>46279</v>
      </c>
      <c r="B37" s="16" t="n">
        <v>90</v>
      </c>
      <c r="C37" s="16" t="n">
        <v>93</v>
      </c>
      <c r="D37" s="16" t="n">
        <v>92</v>
      </c>
      <c r="E37" s="16" t="n">
        <v>91</v>
      </c>
      <c r="F37" s="16" t="n">
        <v>108</v>
      </c>
      <c r="G37" s="16" t="n">
        <v>97</v>
      </c>
      <c r="H37" s="16" t="n">
        <v>109</v>
      </c>
      <c r="I37" s="16" t="n">
        <v>89</v>
      </c>
      <c r="J37" s="16" t="n">
        <v>571</v>
      </c>
      <c r="K37" s="16" t="n">
        <v>533</v>
      </c>
      <c r="L37" s="16" t="n">
        <v>224048</v>
      </c>
    </row>
    <row r="38" customFormat="false" ht="15" hidden="false" customHeight="false" outlineLevel="0" collapsed="false">
      <c r="A38" s="15" t="n">
        <v>46280</v>
      </c>
      <c r="B38" s="16" t="n">
        <v>89</v>
      </c>
      <c r="C38" s="16" t="n">
        <v>93</v>
      </c>
      <c r="D38" s="16" t="n">
        <v>92</v>
      </c>
      <c r="E38" s="16" t="n">
        <v>91</v>
      </c>
      <c r="F38" s="16" t="n">
        <v>109</v>
      </c>
      <c r="G38" s="16" t="n">
        <v>98</v>
      </c>
      <c r="H38" s="16" t="n">
        <v>110</v>
      </c>
      <c r="I38" s="16" t="n">
        <v>88</v>
      </c>
      <c r="J38" s="16" t="n">
        <v>350</v>
      </c>
      <c r="K38" s="16" t="n">
        <v>287</v>
      </c>
      <c r="L38" s="16" t="n">
        <v>218216</v>
      </c>
    </row>
    <row r="39" customFormat="false" ht="15" hidden="false" customHeight="false" outlineLevel="0" collapsed="false">
      <c r="A39" s="15" t="n">
        <v>46281</v>
      </c>
      <c r="B39" s="16" t="n">
        <v>90</v>
      </c>
      <c r="C39" s="16" t="n">
        <v>93</v>
      </c>
      <c r="D39" s="16" t="n">
        <v>93</v>
      </c>
      <c r="E39" s="16" t="n">
        <v>91</v>
      </c>
      <c r="F39" s="16" t="n">
        <v>111</v>
      </c>
      <c r="G39" s="16" t="n">
        <v>98</v>
      </c>
      <c r="H39" s="16" t="n">
        <v>112</v>
      </c>
      <c r="I39" s="16" t="n">
        <v>88</v>
      </c>
      <c r="J39" s="16" t="n">
        <v>344</v>
      </c>
      <c r="K39" s="16" t="n">
        <v>283</v>
      </c>
      <c r="L39" s="16" t="n">
        <v>222873</v>
      </c>
    </row>
    <row r="40" customFormat="false" ht="15" hidden="false" customHeight="false" outlineLevel="0" collapsed="false">
      <c r="A40" s="15" t="n">
        <v>46282</v>
      </c>
      <c r="B40" s="16" t="n">
        <v>90</v>
      </c>
      <c r="C40" s="16" t="n">
        <v>93</v>
      </c>
      <c r="D40" s="16" t="n">
        <v>93</v>
      </c>
      <c r="E40" s="16" t="n">
        <v>91</v>
      </c>
      <c r="F40" s="16" t="n">
        <v>111</v>
      </c>
      <c r="G40" s="16" t="n">
        <v>99</v>
      </c>
      <c r="H40" s="16" t="n">
        <v>112</v>
      </c>
      <c r="I40" s="16" t="n">
        <v>88</v>
      </c>
      <c r="J40" s="16" t="n">
        <v>315</v>
      </c>
      <c r="K40" s="16" t="n">
        <v>265</v>
      </c>
      <c r="L40" s="16" t="n">
        <v>222873</v>
      </c>
    </row>
    <row r="41" customFormat="false" ht="15" hidden="false" customHeight="false" outlineLevel="0" collapsed="false">
      <c r="A41" s="15" t="n">
        <v>46283</v>
      </c>
      <c r="B41" s="16" t="n">
        <v>91</v>
      </c>
      <c r="C41" s="16" t="n">
        <v>93</v>
      </c>
      <c r="D41" s="16" t="n">
        <v>93</v>
      </c>
      <c r="E41" s="16" t="n">
        <v>91</v>
      </c>
      <c r="F41" s="16" t="n">
        <v>112</v>
      </c>
      <c r="G41" s="16" t="n">
        <v>99</v>
      </c>
      <c r="H41" s="16" t="n">
        <v>113</v>
      </c>
      <c r="I41" s="16" t="n">
        <v>88</v>
      </c>
      <c r="J41" s="16" t="n">
        <v>309</v>
      </c>
      <c r="K41" s="16" t="n">
        <v>252</v>
      </c>
      <c r="L41" s="16" t="n">
        <v>224773</v>
      </c>
    </row>
    <row r="42" customFormat="false" ht="15" hidden="false" customHeight="false" outlineLevel="0" collapsed="false">
      <c r="A42" s="15" t="n">
        <v>46284</v>
      </c>
      <c r="B42" s="16" t="n">
        <v>92</v>
      </c>
      <c r="C42" s="16" t="n">
        <v>93</v>
      </c>
      <c r="D42" s="16" t="n">
        <v>93</v>
      </c>
      <c r="E42" s="16" t="n">
        <v>91</v>
      </c>
      <c r="F42" s="16" t="n">
        <v>114</v>
      </c>
      <c r="G42" s="16" t="n">
        <v>97</v>
      </c>
      <c r="H42" s="16" t="n">
        <v>115</v>
      </c>
      <c r="I42" s="16" t="n">
        <v>88</v>
      </c>
      <c r="J42" s="16" t="n">
        <v>346</v>
      </c>
      <c r="K42" s="16" t="n">
        <v>279</v>
      </c>
      <c r="L42" s="16" t="n">
        <v>229319</v>
      </c>
    </row>
    <row r="43" customFormat="false" ht="15" hidden="false" customHeight="false" outlineLevel="0" collapsed="false">
      <c r="A43" s="15" t="n">
        <v>46286</v>
      </c>
      <c r="B43" s="16" t="n">
        <v>92</v>
      </c>
      <c r="C43" s="16" t="n">
        <v>93</v>
      </c>
      <c r="D43" s="16" t="n">
        <v>93</v>
      </c>
      <c r="E43" s="16" t="n">
        <v>91</v>
      </c>
      <c r="F43" s="16" t="n">
        <v>115</v>
      </c>
      <c r="G43" s="16" t="n">
        <v>99</v>
      </c>
      <c r="H43" s="16" t="n">
        <v>116</v>
      </c>
      <c r="I43" s="16" t="n">
        <v>88</v>
      </c>
      <c r="J43" s="16" t="n">
        <v>330</v>
      </c>
      <c r="K43" s="16" t="n">
        <v>271</v>
      </c>
      <c r="L43" s="16" t="n">
        <v>231563</v>
      </c>
    </row>
    <row r="44" customFormat="false" ht="15" hidden="false" customHeight="false" outlineLevel="0" collapsed="false">
      <c r="A44" s="15" t="n">
        <v>46287</v>
      </c>
      <c r="B44" s="16" t="n">
        <v>92</v>
      </c>
      <c r="C44" s="16" t="n">
        <v>93</v>
      </c>
      <c r="D44" s="16" t="n">
        <v>92</v>
      </c>
      <c r="E44" s="16" t="n">
        <v>91</v>
      </c>
      <c r="F44" s="16" t="n">
        <v>116</v>
      </c>
      <c r="G44" s="16" t="n">
        <v>96</v>
      </c>
      <c r="H44" s="16" t="n">
        <v>117</v>
      </c>
      <c r="I44" s="16" t="n">
        <v>88</v>
      </c>
      <c r="J44" s="16" t="n">
        <v>536</v>
      </c>
      <c r="K44" s="16" t="n">
        <v>487</v>
      </c>
      <c r="L44" s="16" t="n">
        <v>234251</v>
      </c>
    </row>
    <row r="45" customFormat="false" ht="15" hidden="false" customHeight="false" outlineLevel="0" collapsed="false">
      <c r="A45" s="15" t="n">
        <v>46288</v>
      </c>
      <c r="B45" s="16" t="n">
        <v>92</v>
      </c>
      <c r="C45" s="16" t="n">
        <v>93</v>
      </c>
      <c r="D45" s="16" t="n">
        <v>93</v>
      </c>
      <c r="E45" s="16" t="n">
        <v>92</v>
      </c>
      <c r="F45" s="16" t="n">
        <v>117</v>
      </c>
      <c r="G45" s="16" t="n">
        <v>99</v>
      </c>
      <c r="H45" s="16" t="n">
        <v>118</v>
      </c>
      <c r="I45" s="16" t="n">
        <v>88</v>
      </c>
      <c r="J45" s="16" t="n">
        <v>331</v>
      </c>
      <c r="K45" s="16" t="n">
        <v>271</v>
      </c>
      <c r="L45" s="16" t="n">
        <v>236840</v>
      </c>
    </row>
    <row r="46" customFormat="false" ht="15" hidden="false" customHeight="false" outlineLevel="0" collapsed="false">
      <c r="A46" s="15" t="n">
        <v>46289</v>
      </c>
      <c r="B46" s="16" t="n">
        <v>92</v>
      </c>
      <c r="C46" s="16" t="n">
        <v>92</v>
      </c>
      <c r="D46" s="16" t="n">
        <v>93</v>
      </c>
      <c r="E46" s="16" t="n">
        <v>92</v>
      </c>
      <c r="F46" s="16" t="n">
        <v>118</v>
      </c>
      <c r="G46" s="16" t="n">
        <v>99</v>
      </c>
      <c r="H46" s="16" t="n">
        <v>119</v>
      </c>
      <c r="I46" s="16" t="n">
        <v>88</v>
      </c>
      <c r="J46" s="16" t="n">
        <v>328</v>
      </c>
      <c r="K46" s="16" t="n">
        <v>267</v>
      </c>
      <c r="L46" s="16" t="n">
        <v>239199</v>
      </c>
    </row>
    <row r="47" customFormat="false" ht="15" hidden="false" customHeight="false" outlineLevel="0" collapsed="false">
      <c r="A47" s="15" t="n">
        <v>46290</v>
      </c>
      <c r="B47" s="16" t="n">
        <v>92</v>
      </c>
      <c r="C47" s="16" t="n">
        <v>93</v>
      </c>
      <c r="D47" s="16" t="n">
        <v>93</v>
      </c>
      <c r="E47" s="16" t="n">
        <v>92</v>
      </c>
      <c r="F47" s="16" t="n">
        <v>118</v>
      </c>
      <c r="G47" s="16" t="n">
        <v>98</v>
      </c>
      <c r="H47" s="16" t="n">
        <v>119</v>
      </c>
      <c r="I47" s="16" t="n">
        <v>88</v>
      </c>
      <c r="J47" s="16" t="n">
        <v>336</v>
      </c>
      <c r="K47" s="16" t="n">
        <v>274</v>
      </c>
      <c r="L47" s="16" t="n">
        <v>239208</v>
      </c>
    </row>
    <row r="48" customFormat="false" ht="15" hidden="false" customHeight="false" outlineLevel="0" collapsed="false">
      <c r="A48" s="15" t="n">
        <v>46291</v>
      </c>
      <c r="B48" s="16" t="n">
        <v>92</v>
      </c>
      <c r="C48" s="16" t="n">
        <v>96</v>
      </c>
      <c r="D48" s="16" t="n">
        <v>95</v>
      </c>
      <c r="E48" s="16" t="n">
        <v>92</v>
      </c>
      <c r="F48" s="16" t="n">
        <v>118</v>
      </c>
      <c r="G48" s="16" t="n">
        <v>98</v>
      </c>
      <c r="H48" s="16" t="n">
        <v>119</v>
      </c>
      <c r="I48" s="16" t="n">
        <v>92</v>
      </c>
      <c r="J48" s="16" t="n">
        <v>337</v>
      </c>
      <c r="K48" s="16" t="n">
        <v>271</v>
      </c>
      <c r="L48" s="16" t="n">
        <v>239577</v>
      </c>
    </row>
    <row r="49" customFormat="false" ht="15" hidden="false" customHeight="false" outlineLevel="0" collapsed="false">
      <c r="A49" s="15" t="n">
        <v>46293</v>
      </c>
      <c r="B49" s="16" t="n">
        <v>92</v>
      </c>
      <c r="C49" s="16" t="n">
        <v>95</v>
      </c>
      <c r="D49" s="16" t="n">
        <v>94</v>
      </c>
      <c r="E49" s="16" t="n">
        <v>92</v>
      </c>
      <c r="F49" s="16" t="n">
        <v>118</v>
      </c>
      <c r="G49" s="16" t="n">
        <v>98</v>
      </c>
      <c r="H49" s="16" t="n">
        <v>119</v>
      </c>
      <c r="I49" s="16" t="n">
        <v>92</v>
      </c>
      <c r="J49" s="16" t="n">
        <v>334</v>
      </c>
      <c r="K49" s="16" t="n">
        <v>268</v>
      </c>
      <c r="L49" s="16" t="n">
        <v>239577</v>
      </c>
    </row>
    <row r="50" customFormat="false" ht="15" hidden="false" customHeight="false" outlineLevel="0" collapsed="false">
      <c r="A50" s="15" t="n">
        <v>46294</v>
      </c>
      <c r="B50" s="16" t="n">
        <v>93</v>
      </c>
      <c r="C50" s="16" t="n">
        <v>98</v>
      </c>
      <c r="D50" s="16" t="n">
        <v>95</v>
      </c>
      <c r="E50" s="16" t="n">
        <v>92</v>
      </c>
      <c r="F50" s="16" t="n">
        <v>118</v>
      </c>
      <c r="G50" s="16" t="n">
        <v>99</v>
      </c>
      <c r="H50" s="16" t="n">
        <v>119</v>
      </c>
      <c r="I50" s="16" t="n">
        <v>92</v>
      </c>
      <c r="J50" s="16" t="n">
        <v>323</v>
      </c>
      <c r="K50" s="16" t="n">
        <v>270</v>
      </c>
      <c r="L50" s="16" t="n">
        <v>241329</v>
      </c>
    </row>
    <row r="51" customFormat="false" ht="15" hidden="false" customHeight="false" outlineLevel="0" collapsed="false">
      <c r="A51" s="15" t="n">
        <v>46295</v>
      </c>
      <c r="B51" s="16" t="n">
        <v>93</v>
      </c>
      <c r="C51" s="16" t="n">
        <v>98</v>
      </c>
      <c r="D51" s="16" t="n">
        <v>95</v>
      </c>
      <c r="E51" s="16" t="n">
        <v>92</v>
      </c>
      <c r="F51" s="16" t="n">
        <v>118</v>
      </c>
      <c r="G51" s="16" t="n">
        <v>98</v>
      </c>
      <c r="H51" s="16" t="n">
        <v>119</v>
      </c>
      <c r="I51" s="16" t="n">
        <v>92</v>
      </c>
      <c r="J51" s="16" t="n">
        <v>342</v>
      </c>
      <c r="K51" s="16" t="n">
        <v>276</v>
      </c>
      <c r="L51" s="16" t="n">
        <v>241329</v>
      </c>
    </row>
    <row r="52" customFormat="false" ht="15" hidden="false" customHeight="false" outlineLevel="0" collapsed="false">
      <c r="A52" s="15" t="n">
        <v>46296</v>
      </c>
      <c r="B52" s="16" t="n">
        <v>93</v>
      </c>
      <c r="C52" s="16" t="n">
        <v>98</v>
      </c>
      <c r="D52" s="16" t="n">
        <v>95</v>
      </c>
      <c r="E52" s="16" t="n">
        <v>92</v>
      </c>
      <c r="F52" s="16" t="n">
        <v>118</v>
      </c>
      <c r="G52" s="16" t="n">
        <v>98</v>
      </c>
      <c r="H52" s="16" t="n">
        <v>119</v>
      </c>
      <c r="I52" s="16" t="n">
        <v>92</v>
      </c>
      <c r="J52" s="16" t="n">
        <v>331</v>
      </c>
      <c r="K52" s="16" t="n">
        <v>268</v>
      </c>
      <c r="L52" s="16" t="n">
        <v>241211</v>
      </c>
    </row>
    <row r="53" customFormat="false" ht="15" hidden="false" customHeight="false" outlineLevel="0" collapsed="false">
      <c r="A53" s="15" t="n">
        <v>46297</v>
      </c>
      <c r="B53" s="16" t="n">
        <v>93</v>
      </c>
      <c r="C53" s="16" t="n">
        <v>99</v>
      </c>
      <c r="D53" s="16" t="n">
        <v>96</v>
      </c>
      <c r="E53" s="16" t="n">
        <v>94</v>
      </c>
      <c r="F53" s="16" t="n">
        <v>118</v>
      </c>
      <c r="G53" s="16" t="n">
        <v>96</v>
      </c>
      <c r="H53" s="16" t="n">
        <v>119</v>
      </c>
      <c r="I53" s="16" t="n">
        <v>98</v>
      </c>
      <c r="J53" s="16" t="n">
        <v>564</v>
      </c>
      <c r="K53" s="16" t="n">
        <v>505</v>
      </c>
      <c r="L53" s="16" t="n">
        <v>241675</v>
      </c>
    </row>
    <row r="54" customFormat="false" ht="15" hidden="false" customHeight="false" outlineLevel="0" collapsed="false">
      <c r="A54" s="15" t="n">
        <v>46298</v>
      </c>
      <c r="B54" s="16" t="n">
        <v>93</v>
      </c>
      <c r="C54" s="16" t="n">
        <v>98</v>
      </c>
      <c r="D54" s="16" t="n">
        <v>97</v>
      </c>
      <c r="E54" s="16" t="n">
        <v>94</v>
      </c>
      <c r="F54" s="16" t="n">
        <v>118</v>
      </c>
      <c r="G54" s="16" t="n">
        <v>98</v>
      </c>
      <c r="H54" s="16" t="n">
        <v>119</v>
      </c>
      <c r="I54" s="16" t="n">
        <v>98</v>
      </c>
      <c r="J54" s="16" t="n">
        <v>327</v>
      </c>
      <c r="K54" s="19" t="n">
        <v>274.5</v>
      </c>
      <c r="L54" s="16" t="n">
        <v>241675</v>
      </c>
    </row>
    <row r="55" customFormat="false" ht="15" hidden="false" customHeight="false" outlineLevel="0" collapsed="false">
      <c r="A55" s="15" t="n">
        <v>46300</v>
      </c>
      <c r="B55" s="16" t="n">
        <v>93</v>
      </c>
      <c r="C55" s="16" t="n">
        <v>98</v>
      </c>
      <c r="D55" s="16" t="n">
        <v>97</v>
      </c>
      <c r="E55" s="16" t="n">
        <v>94</v>
      </c>
      <c r="F55" s="16" t="n">
        <v>118</v>
      </c>
      <c r="G55" s="16" t="n">
        <v>98</v>
      </c>
      <c r="H55" s="16" t="n">
        <v>119</v>
      </c>
      <c r="I55" s="16" t="n">
        <v>98</v>
      </c>
      <c r="J55" s="16" t="n">
        <v>326</v>
      </c>
      <c r="K55" s="19" t="n">
        <v>271.5</v>
      </c>
      <c r="L55" s="16" t="n">
        <v>241675</v>
      </c>
    </row>
    <row r="56" customFormat="false" ht="15" hidden="false" customHeight="false" outlineLevel="0" collapsed="false">
      <c r="A56" s="15" t="n">
        <v>46301</v>
      </c>
      <c r="B56" s="16" t="n">
        <v>93</v>
      </c>
      <c r="C56" s="16" t="n">
        <v>99</v>
      </c>
      <c r="D56" s="16" t="n">
        <v>97</v>
      </c>
      <c r="E56" s="16" t="n">
        <v>94</v>
      </c>
      <c r="F56" s="16" t="n">
        <v>118</v>
      </c>
      <c r="G56" s="16" t="n">
        <v>98</v>
      </c>
      <c r="H56" s="16" t="n">
        <v>119</v>
      </c>
      <c r="I56" s="16" t="n">
        <v>98</v>
      </c>
      <c r="J56" s="16" t="n">
        <v>333</v>
      </c>
      <c r="K56" s="19" t="n">
        <v>282.5</v>
      </c>
      <c r="L56" s="16" t="n">
        <v>241675</v>
      </c>
    </row>
    <row r="57" customFormat="false" ht="15" hidden="false" customHeight="false" outlineLevel="0" collapsed="false">
      <c r="A57" s="15" t="n">
        <v>46302</v>
      </c>
      <c r="B57" s="16" t="n">
        <v>93</v>
      </c>
      <c r="C57" s="16" t="n">
        <v>98</v>
      </c>
      <c r="D57" s="16" t="n">
        <v>97</v>
      </c>
      <c r="E57" s="16" t="n">
        <v>94</v>
      </c>
      <c r="F57" s="16" t="n">
        <v>118</v>
      </c>
      <c r="G57" s="16" t="n">
        <v>98</v>
      </c>
      <c r="H57" s="16" t="n">
        <v>119</v>
      </c>
      <c r="I57" s="16" t="n">
        <v>98</v>
      </c>
      <c r="J57" s="16" t="n">
        <v>338</v>
      </c>
      <c r="K57" s="19" t="n">
        <v>277.5</v>
      </c>
      <c r="L57" s="16" t="n">
        <v>241675</v>
      </c>
    </row>
    <row r="58" customFormat="false" ht="15" hidden="false" customHeight="false" outlineLevel="0" collapsed="false">
      <c r="A58" s="15" t="n">
        <v>46303</v>
      </c>
      <c r="B58" s="16" t="n">
        <v>93</v>
      </c>
      <c r="C58" s="16" t="n">
        <v>99</v>
      </c>
      <c r="D58" s="16" t="n">
        <v>97</v>
      </c>
      <c r="E58" s="16" t="n">
        <v>94</v>
      </c>
      <c r="F58" s="16" t="n">
        <v>118</v>
      </c>
      <c r="G58" s="16" t="n">
        <v>98</v>
      </c>
      <c r="H58" s="16" t="n">
        <v>119</v>
      </c>
      <c r="I58" s="16" t="n">
        <v>98</v>
      </c>
      <c r="J58" s="16" t="n">
        <v>308</v>
      </c>
      <c r="K58" s="19" t="n">
        <v>264.5</v>
      </c>
      <c r="L58" s="16" t="n">
        <v>241675</v>
      </c>
    </row>
    <row r="59" customFormat="false" ht="15" hidden="false" customHeight="false" outlineLevel="0" collapsed="false">
      <c r="A59" s="15" t="n">
        <v>46304</v>
      </c>
      <c r="B59" s="16" t="n">
        <v>93</v>
      </c>
      <c r="C59" s="16" t="n">
        <v>98</v>
      </c>
      <c r="D59" s="16" t="n">
        <v>97</v>
      </c>
      <c r="E59" s="16" t="n">
        <v>94</v>
      </c>
      <c r="F59" s="16" t="n">
        <v>118</v>
      </c>
      <c r="G59" s="16" t="n">
        <v>98</v>
      </c>
      <c r="H59" s="16" t="n">
        <v>119</v>
      </c>
      <c r="I59" s="16" t="n">
        <v>98</v>
      </c>
      <c r="J59" s="16" t="n">
        <v>327</v>
      </c>
      <c r="K59" s="16" t="n">
        <v>270</v>
      </c>
      <c r="L59" s="16" t="n">
        <v>241675</v>
      </c>
    </row>
    <row r="60" customFormat="false" ht="15" hidden="false" customHeight="false" outlineLevel="0" collapsed="false">
      <c r="A60" s="15" t="n">
        <v>46307</v>
      </c>
      <c r="B60" s="16" t="n">
        <v>93</v>
      </c>
      <c r="C60" s="16" t="n">
        <v>99</v>
      </c>
      <c r="D60" s="16" t="n">
        <v>97</v>
      </c>
      <c r="E60" s="16" t="n">
        <v>94</v>
      </c>
      <c r="F60" s="16" t="n">
        <v>118</v>
      </c>
      <c r="G60" s="16" t="n">
        <v>98</v>
      </c>
      <c r="H60" s="16" t="n">
        <v>119</v>
      </c>
      <c r="I60" s="16" t="n">
        <v>98</v>
      </c>
      <c r="J60" s="19" t="n">
        <v>313.2</v>
      </c>
      <c r="K60" s="19" t="n">
        <v>269.5</v>
      </c>
      <c r="L60" s="16" t="n">
        <v>241675</v>
      </c>
    </row>
    <row r="61" customFormat="false" ht="15" hidden="false" customHeight="false" outlineLevel="0" collapsed="false">
      <c r="A61" s="15" t="n">
        <v>46308</v>
      </c>
      <c r="B61" s="16" t="n">
        <v>93</v>
      </c>
      <c r="C61" s="16" t="n">
        <v>98</v>
      </c>
      <c r="D61" s="16" t="n">
        <v>97</v>
      </c>
      <c r="E61" s="16" t="n">
        <v>94</v>
      </c>
      <c r="F61" s="16" t="n">
        <v>118</v>
      </c>
      <c r="G61" s="16" t="n">
        <v>98</v>
      </c>
      <c r="H61" s="16" t="n">
        <v>119</v>
      </c>
      <c r="I61" s="16" t="n">
        <v>98</v>
      </c>
      <c r="J61" s="19" t="n">
        <v>315.9</v>
      </c>
      <c r="K61" s="16" t="n">
        <v>261</v>
      </c>
      <c r="L61" s="16" t="n">
        <v>242620</v>
      </c>
    </row>
    <row r="62" customFormat="false" ht="15" hidden="false" customHeight="false" outlineLevel="0" collapsed="false">
      <c r="A62" s="15" t="n">
        <v>46309</v>
      </c>
      <c r="B62" s="16" t="n">
        <v>93</v>
      </c>
      <c r="C62" s="16" t="n">
        <v>98</v>
      </c>
      <c r="D62" s="16" t="n">
        <v>97</v>
      </c>
      <c r="E62" s="16" t="n">
        <v>93</v>
      </c>
      <c r="F62" s="16" t="n">
        <v>118</v>
      </c>
      <c r="G62" s="16" t="n">
        <v>98</v>
      </c>
      <c r="H62" s="16" t="n">
        <v>119</v>
      </c>
      <c r="I62" s="16" t="n">
        <v>98</v>
      </c>
      <c r="J62" s="19" t="n">
        <v>317.4</v>
      </c>
      <c r="K62" s="19" t="n">
        <v>267.5</v>
      </c>
      <c r="L62" s="16" t="n">
        <v>241898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3" customFormat="false" ht="15" hidden="false" customHeight="false" outlineLevel="0" collapsed="false">
      <c r="A3" s="2" t="s">
        <v>86</v>
      </c>
    </row>
    <row r="5" customFormat="false" ht="15" hidden="false" customHeight="false" outlineLevel="0" collapsed="false">
      <c r="A5" s="20" t="s">
        <v>87</v>
      </c>
    </row>
    <row r="6" customFormat="false" ht="15" hidden="false" customHeight="false" outlineLevel="0" collapsed="false">
      <c r="A6" s="13" t="s">
        <v>88</v>
      </c>
      <c r="B6" s="21" t="s">
        <v>89</v>
      </c>
      <c r="C6" s="21" t="s">
        <v>90</v>
      </c>
      <c r="D6" s="21" t="s">
        <v>91</v>
      </c>
      <c r="E6" s="21" t="s">
        <v>92</v>
      </c>
    </row>
    <row r="7" customFormat="false" ht="15" hidden="false" customHeight="false" outlineLevel="0" collapsed="false">
      <c r="A7" s="22" t="s">
        <v>34</v>
      </c>
      <c r="B7" s="16" t="n">
        <f aca="false">SUMIFS('Social — theo ngày'!B6:B105,'Social — theo ngày'!$A$6:$A$105,"&gt;="&amp;DATE(2026,7,1),'Social — theo ngày'!$A$6:$A$105,"&lt;="&amp;DATE(2026,7,31))</f>
        <v>125</v>
      </c>
      <c r="C7" s="16" t="n">
        <f aca="false">SUMIFS('Social — theo ngày'!B6:B105,'Social — theo ngày'!$A$6:$A$105,"&gt;="&amp;DATE(2026,8,1),'Social — theo ngày'!$A$6:$A$105,"&lt;="&amp;DATE(2026,8,31))</f>
        <v>195</v>
      </c>
      <c r="D7" s="16" t="n">
        <f aca="false">SUMIFS('Social — theo ngày'!B6:B105,'Social — theo ngày'!$A$6:$A$105,"&gt;="&amp;DATE(2026,9,1),'Social — theo ngày'!$A$6:$A$105,"&lt;="&amp;DATE(2026,9,30))</f>
        <v>160</v>
      </c>
      <c r="E7" s="16" t="n">
        <f aca="false">SUMIFS('Social — theo ngày'!B6:B105,'Social — theo ngày'!$A$6:$A$105,"&gt;="&amp;DATE(2026,10,1),'Social — theo ngày'!$A$6:$A$105,"&lt;="&amp;DATE(2026,10,31))</f>
        <v>94</v>
      </c>
    </row>
    <row r="8" customFormat="false" ht="15" hidden="false" customHeight="false" outlineLevel="0" collapsed="false">
      <c r="A8" s="22" t="s">
        <v>35</v>
      </c>
      <c r="B8" s="16" t="n">
        <f aca="false">SUMIFS('Social — theo ngày'!C6:C105,'Social — theo ngày'!$A$6:$A$105,"&gt;="&amp;DATE(2026,7,1),'Social — theo ngày'!$A$6:$A$105,"&lt;="&amp;DATE(2026,7,31))</f>
        <v>106</v>
      </c>
      <c r="C8" s="16" t="n">
        <f aca="false">SUMIFS('Social — theo ngày'!C6:C105,'Social — theo ngày'!$A$6:$A$105,"&gt;="&amp;DATE(2026,8,1),'Social — theo ngày'!$A$6:$A$105,"&lt;="&amp;DATE(2026,8,31))</f>
        <v>147</v>
      </c>
      <c r="D8" s="16" t="n">
        <f aca="false">SUMIFS('Social — theo ngày'!C6:C105,'Social — theo ngày'!$A$6:$A$105,"&gt;="&amp;DATE(2026,9,1),'Social — theo ngày'!$A$6:$A$105,"&lt;="&amp;DATE(2026,9,30))</f>
        <v>354</v>
      </c>
      <c r="E8" s="16" t="n">
        <f aca="false">SUMIFS('Social — theo ngày'!C6:C105,'Social — theo ngày'!$A$6:$A$105,"&gt;="&amp;DATE(2026,10,1),'Social — theo ngày'!$A$6:$A$105,"&lt;="&amp;DATE(2026,10,31))</f>
        <v>243</v>
      </c>
    </row>
    <row r="9" customFormat="false" ht="15" hidden="false" customHeight="false" outlineLevel="0" collapsed="false">
      <c r="A9" s="22" t="s">
        <v>36</v>
      </c>
      <c r="B9" s="16" t="n">
        <f aca="false">SUMIFS('Social — theo ngày'!D6:D105,'Social — theo ngày'!$A$6:$A$105,"&gt;="&amp;DATE(2026,7,1),'Social — theo ngày'!$A$6:$A$105,"&lt;="&amp;DATE(2026,7,31))</f>
        <v>3579</v>
      </c>
      <c r="C9" s="16" t="n">
        <f aca="false">SUMIFS('Social — theo ngày'!D6:D105,'Social — theo ngày'!$A$6:$A$105,"&gt;="&amp;DATE(2026,8,1),'Social — theo ngày'!$A$6:$A$105,"&lt;="&amp;DATE(2026,8,31))</f>
        <v>4978</v>
      </c>
      <c r="D9" s="16" t="n">
        <f aca="false">SUMIFS('Social — theo ngày'!D6:D105,'Social — theo ngày'!$A$6:$A$105,"&gt;="&amp;DATE(2026,9,1),'Social — theo ngày'!$A$6:$A$105,"&lt;="&amp;DATE(2026,9,30))</f>
        <v>4776</v>
      </c>
      <c r="E9" s="16" t="n">
        <f aca="false">SUMIFS('Social — theo ngày'!D6:D105,'Social — theo ngày'!$A$6:$A$105,"&gt;="&amp;DATE(2026,10,1),'Social — theo ngày'!$A$6:$A$105,"&lt;="&amp;DATE(2026,10,31))</f>
        <v>2087</v>
      </c>
    </row>
    <row r="10" customFormat="false" ht="15" hidden="false" customHeight="false" outlineLevel="0" collapsed="false">
      <c r="A10" s="22" t="s">
        <v>37</v>
      </c>
      <c r="B10" s="16" t="n">
        <f aca="false">SUMIFS('Social — theo ngày'!E6:E105,'Social — theo ngày'!$A$6:$A$105,"&gt;="&amp;DATE(2026,7,1),'Social — theo ngày'!$A$6:$A$105,"&lt;="&amp;DATE(2026,7,31))</f>
        <v>189</v>
      </c>
      <c r="C10" s="16" t="n">
        <f aca="false">SUMIFS('Social — theo ngày'!E6:E105,'Social — theo ngày'!$A$6:$A$105,"&gt;="&amp;DATE(2026,8,1),'Social — theo ngày'!$A$6:$A$105,"&lt;="&amp;DATE(2026,8,31))</f>
        <v>314</v>
      </c>
      <c r="D10" s="16" t="n">
        <f aca="false">SUMIFS('Social — theo ngày'!E6:E105,'Social — theo ngày'!$A$6:$A$105,"&gt;="&amp;DATE(2026,9,1),'Social — theo ngày'!$A$6:$A$105,"&lt;="&amp;DATE(2026,9,30))</f>
        <v>425</v>
      </c>
      <c r="E10" s="16" t="n">
        <f aca="false">SUMIFS('Social — theo ngày'!E6:E105,'Social — theo ngày'!$A$6:$A$105,"&gt;="&amp;DATE(2026,10,1),'Social — theo ngày'!$A$6:$A$105,"&lt;="&amp;DATE(2026,10,31))</f>
        <v>244</v>
      </c>
    </row>
    <row r="11" customFormat="false" ht="15" hidden="false" customHeight="false" outlineLevel="0" collapsed="false">
      <c r="A11" s="22" t="s">
        <v>38</v>
      </c>
      <c r="B11" s="16" t="n">
        <f aca="false">SUMIFS('Social — theo ngày'!F6:F105,'Social — theo ngày'!$A$6:$A$105,"&gt;="&amp;DATE(2026,7,1),'Social — theo ngày'!$A$6:$A$105,"&lt;="&amp;DATE(2026,7,31))</f>
        <v>51</v>
      </c>
      <c r="C11" s="16" t="n">
        <f aca="false">SUMIFS('Social — theo ngày'!F6:F105,'Social — theo ngày'!$A$6:$A$105,"&gt;="&amp;DATE(2026,8,1),'Social — theo ngày'!$A$6:$A$105,"&lt;="&amp;DATE(2026,8,31))</f>
        <v>69</v>
      </c>
      <c r="D11" s="16" t="n">
        <f aca="false">SUMIFS('Social — theo ngày'!F6:F105,'Social — theo ngày'!$A$6:$A$105,"&gt;="&amp;DATE(2026,9,1),'Social — theo ngày'!$A$6:$A$105,"&lt;="&amp;DATE(2026,9,30))</f>
        <v>25</v>
      </c>
      <c r="E11" s="16" t="n">
        <f aca="false">SUMIFS('Social — theo ngày'!F6:F105,'Social — theo ngày'!$A$6:$A$105,"&gt;="&amp;DATE(2026,10,1),'Social — theo ngày'!$A$6:$A$105,"&lt;="&amp;DATE(2026,10,31))</f>
        <v>20</v>
      </c>
    </row>
    <row r="12" customFormat="false" ht="15" hidden="false" customHeight="false" outlineLevel="0" collapsed="false">
      <c r="A12" s="22" t="s">
        <v>39</v>
      </c>
      <c r="B12" s="16" t="n">
        <f aca="false">SUMIFS('Social — theo ngày'!G6:G105,'Social — theo ngày'!$A$6:$A$105,"&gt;="&amp;DATE(2026,7,1),'Social — theo ngày'!$A$6:$A$105,"&lt;="&amp;DATE(2026,7,31))</f>
        <v>275</v>
      </c>
      <c r="C12" s="16" t="n">
        <f aca="false">SUMIFS('Social — theo ngày'!G6:G105,'Social — theo ngày'!$A$6:$A$105,"&gt;="&amp;DATE(2026,8,1),'Social — theo ngày'!$A$6:$A$105,"&lt;="&amp;DATE(2026,8,31))</f>
        <v>387</v>
      </c>
      <c r="D12" s="16" t="n">
        <f aca="false">SUMIFS('Social — theo ngày'!G6:G105,'Social — theo ngày'!$A$6:$A$105,"&gt;="&amp;DATE(2026,9,1),'Social — theo ngày'!$A$6:$A$105,"&lt;="&amp;DATE(2026,9,30))</f>
        <v>177</v>
      </c>
      <c r="E12" s="16" t="n">
        <f aca="false">SUMIFS('Social — theo ngày'!G6:G105,'Social — theo ngày'!$A$6:$A$105,"&gt;="&amp;DATE(2026,10,1),'Social — theo ngày'!$A$6:$A$105,"&lt;="&amp;DATE(2026,10,31))</f>
        <v>85</v>
      </c>
    </row>
    <row r="13" customFormat="false" ht="15" hidden="false" customHeight="false" outlineLevel="0" collapsed="false">
      <c r="A13" s="22" t="s">
        <v>40</v>
      </c>
      <c r="B13" s="16" t="n">
        <f aca="false">SUMIFS('Social — theo ngày'!H6:H105,'Social — theo ngày'!$A$6:$A$105,"&gt;="&amp;DATE(2026,7,1),'Social — theo ngày'!$A$6:$A$105,"&lt;="&amp;DATE(2026,7,31))</f>
        <v>869</v>
      </c>
      <c r="C13" s="16" t="n">
        <f aca="false">SUMIFS('Social — theo ngày'!H6:H105,'Social — theo ngày'!$A$6:$A$105,"&gt;="&amp;DATE(2026,8,1),'Social — theo ngày'!$A$6:$A$105,"&lt;="&amp;DATE(2026,8,31))</f>
        <v>1161</v>
      </c>
      <c r="D13" s="16" t="n">
        <f aca="false">SUMIFS('Social — theo ngày'!H6:H105,'Social — theo ngày'!$A$6:$A$105,"&gt;="&amp;DATE(2026,9,1),'Social — theo ngày'!$A$6:$A$105,"&lt;="&amp;DATE(2026,9,30))</f>
        <v>2465</v>
      </c>
      <c r="E13" s="16" t="n">
        <f aca="false">SUMIFS('Social — theo ngày'!H6:H105,'Social — theo ngày'!$A$6:$A$105,"&gt;="&amp;DATE(2026,10,1),'Social — theo ngày'!$A$6:$A$105,"&lt;="&amp;DATE(2026,10,31))</f>
        <v>959</v>
      </c>
    </row>
    <row r="15" customFormat="false" ht="15" hidden="false" customHeight="false" outlineLevel="0" collapsed="false">
      <c r="A15" s="23" t="s">
        <v>93</v>
      </c>
    </row>
    <row r="16" customFormat="false" ht="15" hidden="false" customHeight="false" outlineLevel="0" collapsed="false">
      <c r="A16" s="13" t="s">
        <v>88</v>
      </c>
      <c r="B16" s="21" t="s">
        <v>89</v>
      </c>
      <c r="C16" s="21" t="s">
        <v>90</v>
      </c>
      <c r="D16" s="21" t="s">
        <v>91</v>
      </c>
      <c r="E16" s="21" t="s">
        <v>92</v>
      </c>
    </row>
    <row r="17" customFormat="false" ht="15" hidden="false" customHeight="false" outlineLevel="0" collapsed="false">
      <c r="A17" s="22" t="s">
        <v>43</v>
      </c>
      <c r="B17" s="24" t="n">
        <f aca="false">'Social — 28 ngày'!B11</f>
        <v>115</v>
      </c>
      <c r="C17" s="24" t="n">
        <f aca="false">'Social — 28 ngày'!B32</f>
        <v>115</v>
      </c>
      <c r="D17" s="24" t="n">
        <f aca="false">'Social — 28 ngày'!B54</f>
        <v>116</v>
      </c>
      <c r="E17" s="24" t="n">
        <f aca="false">'Social — 28 ngày'!B65</f>
        <v>116</v>
      </c>
    </row>
    <row r="18" customFormat="false" ht="15" hidden="false" customHeight="false" outlineLevel="0" collapsed="false">
      <c r="A18" s="22" t="s">
        <v>44</v>
      </c>
      <c r="B18" s="24" t="n">
        <f aca="false">'Social — 28 ngày'!C11</f>
        <v>130</v>
      </c>
      <c r="C18" s="24" t="n">
        <f aca="false">'Social — 28 ngày'!C32</f>
        <v>184</v>
      </c>
      <c r="D18" s="24" t="n">
        <f aca="false">'Social — 28 ngày'!C54</f>
        <v>141</v>
      </c>
      <c r="E18" s="24" t="n">
        <f aca="false">'Social — 28 ngày'!C65</f>
        <v>184</v>
      </c>
    </row>
    <row r="19" customFormat="false" ht="15" hidden="false" customHeight="false" outlineLevel="0" collapsed="false">
      <c r="A19" s="22" t="s">
        <v>45</v>
      </c>
      <c r="B19" s="24" t="n">
        <f aca="false">'Social — 28 ngày'!D11</f>
        <v>3635</v>
      </c>
      <c r="C19" s="24" t="n">
        <f aca="false">'Social — 28 ngày'!D32</f>
        <v>4735</v>
      </c>
      <c r="D19" s="24" t="n">
        <f aca="false">'Social — 28 ngày'!D54</f>
        <v>4519</v>
      </c>
      <c r="E19" s="24" t="n">
        <f aca="false">'Social — 28 ngày'!D65</f>
        <v>4139</v>
      </c>
    </row>
    <row r="20" customFormat="false" ht="15" hidden="false" customHeight="false" outlineLevel="0" collapsed="false">
      <c r="A20" s="22" t="s">
        <v>46</v>
      </c>
      <c r="B20" s="24" t="n">
        <f aca="false">'Social — 28 ngày'!E11</f>
        <v>171</v>
      </c>
      <c r="C20" s="24" t="n">
        <f aca="false">'Social — 28 ngày'!E32</f>
        <v>280</v>
      </c>
      <c r="D20" s="24" t="n">
        <f aca="false">'Social — 28 ngày'!E54</f>
        <v>422</v>
      </c>
      <c r="E20" s="24" t="n">
        <f aca="false">'Social — 28 ngày'!E65</f>
        <v>493</v>
      </c>
    </row>
    <row r="21" customFormat="false" ht="15" hidden="false" customHeight="false" outlineLevel="0" collapsed="false">
      <c r="A21" s="22" t="s">
        <v>47</v>
      </c>
      <c r="B21" s="24" t="n">
        <f aca="false">'Social — 28 ngày'!F11</f>
        <v>33</v>
      </c>
      <c r="C21" s="24" t="n">
        <f aca="false">'Social — 28 ngày'!F32</f>
        <v>47</v>
      </c>
      <c r="D21" s="24" t="n">
        <f aca="false">'Social — 28 ngày'!F54</f>
        <v>49</v>
      </c>
      <c r="E21" s="24" t="n">
        <f aca="false">'Social — 28 ngày'!F65</f>
        <v>49</v>
      </c>
    </row>
    <row r="22" customFormat="false" ht="15" hidden="false" customHeight="false" outlineLevel="0" collapsed="false">
      <c r="A22" s="22" t="s">
        <v>48</v>
      </c>
      <c r="B22" s="24" t="n">
        <f aca="false">'Social — 28 ngày'!G11</f>
        <v>49</v>
      </c>
      <c r="C22" s="24" t="n">
        <f aca="false">'Social — 28 ngày'!G32</f>
        <v>68</v>
      </c>
      <c r="D22" s="24" t="n">
        <f aca="false">'Social — 28 ngày'!G54</f>
        <v>20</v>
      </c>
      <c r="E22" s="24" t="n">
        <f aca="false">'Social — 28 ngày'!G65</f>
        <v>39</v>
      </c>
    </row>
    <row r="23" customFormat="false" ht="15" hidden="false" customHeight="false" outlineLevel="0" collapsed="false">
      <c r="A23" s="22" t="s">
        <v>49</v>
      </c>
      <c r="B23" s="24" t="n">
        <f aca="false">'Social — 28 ngày'!H11</f>
        <v>192</v>
      </c>
      <c r="C23" s="24" t="n">
        <f aca="false">'Social — 28 ngày'!H32</f>
        <v>275</v>
      </c>
      <c r="D23" s="24" t="n">
        <f aca="false">'Social — 28 ngày'!H54</f>
        <v>87</v>
      </c>
      <c r="E23" s="24" t="n">
        <f aca="false">'Social — 28 ngày'!H65</f>
        <v>120</v>
      </c>
    </row>
    <row r="24" customFormat="false" ht="15" hidden="false" customHeight="false" outlineLevel="0" collapsed="false">
      <c r="A24" s="22" t="s">
        <v>50</v>
      </c>
      <c r="B24" s="24" t="n">
        <f aca="false">'Social — 28 ngày'!I11</f>
        <v>855</v>
      </c>
      <c r="C24" s="24" t="n">
        <f aca="false">'Social — 28 ngày'!I32</f>
        <v>1039</v>
      </c>
      <c r="D24" s="24" t="n">
        <f aca="false">'Social — 28 ngày'!I54</f>
        <v>2258</v>
      </c>
      <c r="E24" s="24" t="n">
        <f aca="false">'Social — 28 ngày'!I65</f>
        <v>2169</v>
      </c>
    </row>
    <row r="25" customFormat="false" ht="15" hidden="false" customHeight="false" outlineLevel="0" collapsed="false">
      <c r="A25" s="22" t="s">
        <v>51</v>
      </c>
      <c r="B25" s="24" t="n">
        <f aca="false">'Social — 28 ngày'!J11</f>
        <v>55</v>
      </c>
      <c r="C25" s="24" t="n">
        <f aca="false">'Social — 28 ngày'!J32</f>
        <v>100</v>
      </c>
      <c r="D25" s="24" t="n">
        <f aca="false">'Social — 28 ngày'!J54</f>
        <v>102</v>
      </c>
      <c r="E25" s="24" t="n">
        <f aca="false">'Social — 28 ngày'!J65</f>
        <v>132</v>
      </c>
    </row>
    <row r="26" customFormat="false" ht="15" hidden="false" customHeight="false" outlineLevel="0" collapsed="false">
      <c r="A26" s="22" t="s">
        <v>52</v>
      </c>
      <c r="B26" s="24" t="n">
        <f aca="false">'Social — 28 ngày'!K11</f>
        <v>1351</v>
      </c>
      <c r="C26" s="24" t="n">
        <f aca="false">'Social — 28 ngày'!K32</f>
        <v>1691</v>
      </c>
      <c r="D26" s="24" t="n">
        <f aca="false">'Social — 28 ngày'!K54</f>
        <v>1193</v>
      </c>
      <c r="E26" s="24" t="n">
        <f aca="false">'Social — 28 ngày'!K65</f>
        <v>1090</v>
      </c>
    </row>
    <row r="27" customFormat="false" ht="15" hidden="false" customHeight="false" outlineLevel="0" collapsed="false">
      <c r="A27" s="22" t="s">
        <v>53</v>
      </c>
      <c r="B27" s="24" t="n">
        <f aca="false">'Social — 28 ngày'!L11</f>
        <v>39</v>
      </c>
      <c r="C27" s="24" t="n">
        <f aca="false">'Social — 28 ngày'!L32</f>
        <v>127</v>
      </c>
      <c r="D27" s="24" t="n">
        <f aca="false">'Social — 28 ngày'!L54</f>
        <v>24</v>
      </c>
      <c r="E27" s="24" t="n">
        <f aca="false">'Social — 28 ngày'!L65</f>
        <v>59</v>
      </c>
    </row>
    <row r="28" customFormat="false" ht="15" hidden="false" customHeight="false" outlineLevel="0" collapsed="false">
      <c r="A28" s="22" t="s">
        <v>54</v>
      </c>
      <c r="B28" s="24" t="n">
        <f aca="false">'Social — 28 ngày'!M11</f>
        <v>56</v>
      </c>
      <c r="C28" s="24" t="n">
        <f aca="false">'Social — 28 ngày'!M32</f>
        <v>86</v>
      </c>
      <c r="D28" s="24" t="n">
        <f aca="false">'Social — 28 ngày'!M54</f>
        <v>36</v>
      </c>
      <c r="E28" s="24" t="n">
        <f aca="false">'Social — 28 ngày'!M65</f>
        <v>41</v>
      </c>
    </row>
    <row r="29" customFormat="false" ht="15" hidden="false" customHeight="false" outlineLevel="0" collapsed="false">
      <c r="A29" s="22" t="s">
        <v>55</v>
      </c>
      <c r="B29" s="24" t="n">
        <f aca="false">'Social — 28 ngày'!N11</f>
        <v>4</v>
      </c>
      <c r="C29" s="24" t="n">
        <f aca="false">'Social — 28 ngày'!N32</f>
        <v>4</v>
      </c>
      <c r="D29" s="24" t="n">
        <f aca="false">'Social — 28 ngày'!N54</f>
        <v>4</v>
      </c>
      <c r="E29" s="24" t="n">
        <f aca="false">'Social — 28 ngày'!N65</f>
        <v>7</v>
      </c>
    </row>
    <row r="30" customFormat="false" ht="15" hidden="false" customHeight="false" outlineLevel="0" collapsed="false">
      <c r="A30" s="22" t="s">
        <v>56</v>
      </c>
      <c r="B30" s="24" t="n">
        <f aca="false">'Social — 28 ngày'!O11</f>
        <v>28</v>
      </c>
      <c r="C30" s="24" t="n">
        <f aca="false">'Social — 28 ngày'!O32</f>
        <v>59</v>
      </c>
      <c r="D30" s="24" t="n">
        <f aca="false">'Social — 28 ngày'!O54</f>
        <v>634</v>
      </c>
      <c r="E30" s="24" t="n">
        <f aca="false">'Social — 28 ngày'!O65</f>
        <v>842</v>
      </c>
    </row>
    <row r="32" customFormat="false" ht="15" hidden="false" customHeight="false" outlineLevel="0" collapsed="false">
      <c r="A32" s="23" t="s">
        <v>94</v>
      </c>
    </row>
    <row r="33" customFormat="false" ht="15" hidden="false" customHeight="false" outlineLevel="0" collapsed="false">
      <c r="A33" s="13" t="s">
        <v>88</v>
      </c>
      <c r="B33" s="21" t="s">
        <v>95</v>
      </c>
      <c r="C33" s="21" t="s">
        <v>89</v>
      </c>
      <c r="D33" s="21" t="s">
        <v>90</v>
      </c>
      <c r="E33" s="21" t="s">
        <v>91</v>
      </c>
      <c r="F33" s="21" t="s">
        <v>92</v>
      </c>
    </row>
    <row r="34" customFormat="false" ht="15" hidden="false" customHeight="false" outlineLevel="0" collapsed="false">
      <c r="A34" s="22" t="s">
        <v>59</v>
      </c>
      <c r="B34" s="24" t="n">
        <f aca="false">SEO!B6</f>
        <v>0</v>
      </c>
      <c r="C34" s="24" t="n">
        <f aca="false">SEO!B11</f>
        <v>14</v>
      </c>
      <c r="D34" s="24" t="n">
        <f aca="false">SEO!B30</f>
        <v>21</v>
      </c>
      <c r="E34" s="24" t="n">
        <f aca="false">SEO!B54</f>
        <v>16</v>
      </c>
      <c r="F34" s="24" t="n">
        <f aca="false">SEO!B65</f>
        <v>14</v>
      </c>
    </row>
    <row r="35" customFormat="false" ht="15" hidden="false" customHeight="false" outlineLevel="0" collapsed="false">
      <c r="A35" s="22" t="s">
        <v>60</v>
      </c>
      <c r="B35" s="24" t="n">
        <f aca="false">SEO!C6</f>
        <v>0</v>
      </c>
      <c r="C35" s="24" t="n">
        <f aca="false">SEO!C11</f>
        <v>346</v>
      </c>
      <c r="D35" s="24" t="n">
        <f aca="false">SEO!C30</f>
        <v>364</v>
      </c>
      <c r="E35" s="24" t="n">
        <f aca="false">SEO!C54</f>
        <v>918</v>
      </c>
      <c r="F35" s="24" t="n">
        <f aca="false">SEO!C65</f>
        <v>915</v>
      </c>
    </row>
    <row r="36" customFormat="false" ht="15" hidden="false" customHeight="false" outlineLevel="0" collapsed="false">
      <c r="A36" s="22" t="s">
        <v>61</v>
      </c>
      <c r="B36" s="24" t="n">
        <f aca="false">SEO!D6</f>
        <v>244</v>
      </c>
      <c r="C36" s="24" t="n">
        <f aca="false">SEO!D11</f>
        <v>341</v>
      </c>
      <c r="D36" s="24" t="n">
        <f aca="false">SEO!D30</f>
        <v>349</v>
      </c>
      <c r="E36" s="24" t="n">
        <f aca="false">SEO!D54</f>
        <v>882</v>
      </c>
      <c r="F36" s="24" t="n">
        <f aca="false">SEO!D65</f>
        <v>879</v>
      </c>
    </row>
    <row r="37" customFormat="false" ht="15" hidden="false" customHeight="false" outlineLevel="0" collapsed="false">
      <c r="A37" s="22" t="s">
        <v>62</v>
      </c>
      <c r="B37" s="24" t="n">
        <f aca="false">SEO!E6</f>
        <v>18.9</v>
      </c>
      <c r="C37" s="24" t="n">
        <f aca="false">SEO!E11</f>
        <v>66.7</v>
      </c>
      <c r="D37" s="24" t="n">
        <f aca="false">SEO!E30</f>
        <v>42.93</v>
      </c>
      <c r="E37" s="24" t="n">
        <f aca="false">SEO!E54</f>
        <v>33.99</v>
      </c>
      <c r="F37" s="24" t="n">
        <f aca="false">SEO!E65</f>
        <v>36.76</v>
      </c>
    </row>
    <row r="38" customFormat="false" ht="15" hidden="false" customHeight="false" outlineLevel="0" collapsed="false">
      <c r="A38" s="22" t="s">
        <v>63</v>
      </c>
      <c r="B38" s="24" t="n">
        <f aca="false">SEO!F6</f>
        <v>0</v>
      </c>
      <c r="C38" s="24" t="n">
        <f aca="false">SEO!F11</f>
        <v>42</v>
      </c>
      <c r="D38" s="24" t="n">
        <f aca="false">SEO!F30</f>
        <v>7</v>
      </c>
      <c r="E38" s="24" t="n">
        <f aca="false">SEO!F54</f>
        <v>4</v>
      </c>
      <c r="F38" s="24" t="n">
        <f aca="false">SEO!F65</f>
        <v>7</v>
      </c>
    </row>
    <row r="39" customFormat="false" ht="15" hidden="false" customHeight="false" outlineLevel="0" collapsed="false">
      <c r="A39" s="22" t="s">
        <v>64</v>
      </c>
      <c r="B39" s="24" t="n">
        <f aca="false">SEO!G6</f>
        <v>322</v>
      </c>
      <c r="C39" s="24" t="n">
        <f aca="false">SEO!G11</f>
        <v>405</v>
      </c>
      <c r="D39" s="24" t="n">
        <f aca="false">SEO!G30</f>
        <v>375</v>
      </c>
      <c r="E39" s="24" t="n">
        <f aca="false">SEO!G54</f>
        <v>559</v>
      </c>
      <c r="F39" s="24" t="n">
        <f aca="false">SEO!G65</f>
        <v>672</v>
      </c>
    </row>
    <row r="40" customFormat="false" ht="15" hidden="false" customHeight="false" outlineLevel="0" collapsed="false">
      <c r="A40" s="22" t="s">
        <v>65</v>
      </c>
      <c r="B40" s="24" t="n">
        <f aca="false">SEO!H6</f>
        <v>205</v>
      </c>
      <c r="C40" s="24" t="n">
        <f aca="false">SEO!H11</f>
        <v>0</v>
      </c>
      <c r="D40" s="24" t="n">
        <f aca="false">SEO!H30</f>
        <v>204</v>
      </c>
      <c r="E40" s="24" t="n">
        <f aca="false">SEO!H54</f>
        <v>394</v>
      </c>
      <c r="F40" s="24" t="n">
        <f aca="false">SEO!H65</f>
        <v>448</v>
      </c>
    </row>
    <row r="41" customFormat="false" ht="15" hidden="false" customHeight="false" outlineLevel="0" collapsed="false">
      <c r="A41" s="22" t="s">
        <v>66</v>
      </c>
      <c r="B41" s="24" t="n">
        <f aca="false">SEO!I6</f>
        <v>47</v>
      </c>
      <c r="C41" s="24" t="n">
        <f aca="false">SEO!I11</f>
        <v>67</v>
      </c>
      <c r="D41" s="24" t="n">
        <f aca="false">SEO!I30</f>
        <v>67</v>
      </c>
      <c r="E41" s="24" t="n">
        <f aca="false">SEO!I54</f>
        <v>30</v>
      </c>
      <c r="F41" s="24" t="n">
        <f aca="false">SEO!I65</f>
        <v>23</v>
      </c>
    </row>
    <row r="42" customFormat="false" ht="15" hidden="false" customHeight="false" outlineLevel="0" collapsed="false">
      <c r="A42" s="22" t="s">
        <v>67</v>
      </c>
      <c r="B42" s="24" t="n">
        <f aca="false">SEO!J6</f>
        <v>8</v>
      </c>
      <c r="C42" s="24" t="n">
        <f aca="false">SEO!J11</f>
        <v>6.5</v>
      </c>
      <c r="D42" s="24" t="n">
        <f aca="false">SEO!J30</f>
        <v>3.8</v>
      </c>
      <c r="E42" s="24" t="n">
        <f aca="false">SEO!J54</f>
        <v>2.8</v>
      </c>
      <c r="F42" s="24" t="n">
        <f aca="false">SEO!J65</f>
        <v>3.4</v>
      </c>
    </row>
    <row r="43" customFormat="false" ht="15" hidden="false" customHeight="false" outlineLevel="0" collapsed="false">
      <c r="A43" s="22" t="s">
        <v>68</v>
      </c>
      <c r="B43" s="24" t="n">
        <f aca="false">SEO!K6</f>
        <v>587</v>
      </c>
      <c r="C43" s="24" t="n">
        <f aca="false">SEO!K11</f>
        <v>1032</v>
      </c>
      <c r="D43" s="24" t="n">
        <f aca="false">SEO!K30</f>
        <v>1757</v>
      </c>
      <c r="E43" s="24" t="n">
        <f aca="false">SEO!K54</f>
        <v>1056</v>
      </c>
      <c r="F43" s="24" t="n">
        <f aca="false">SEO!K65</f>
        <v>672</v>
      </c>
    </row>
    <row r="44" customFormat="false" ht="15" hidden="false" customHeight="false" outlineLevel="0" collapsed="false">
      <c r="A44" s="22" t="s">
        <v>69</v>
      </c>
      <c r="B44" s="24" t="n">
        <f aca="false">SEO!L6</f>
        <v>13.8</v>
      </c>
      <c r="C44" s="24" t="n">
        <f aca="false">SEO!L11</f>
        <v>24.1</v>
      </c>
      <c r="D44" s="24" t="n">
        <f aca="false">SEO!L30</f>
        <v>29.4</v>
      </c>
      <c r="E44" s="24" t="n">
        <f aca="false">SEO!L54</f>
        <v>25.8</v>
      </c>
      <c r="F44" s="24" t="n">
        <f aca="false">SEO!L65</f>
        <v>12.1</v>
      </c>
    </row>
    <row r="45" customFormat="false" ht="15" hidden="false" customHeight="false" outlineLevel="0" collapsed="false">
      <c r="A45" s="22" t="s">
        <v>70</v>
      </c>
      <c r="B45" s="24" t="n">
        <f aca="false">SEO!M6</f>
        <v>0</v>
      </c>
      <c r="C45" s="24" t="n">
        <f aca="false">SEO!M11</f>
        <v>92</v>
      </c>
      <c r="D45" s="24" t="n">
        <f aca="false">SEO!M30</f>
        <v>151</v>
      </c>
      <c r="E45" s="24" t="n">
        <f aca="false">SEO!M54</f>
        <v>80</v>
      </c>
      <c r="F45" s="24" t="n">
        <f aca="false">SEO!M65</f>
        <v>67</v>
      </c>
    </row>
    <row r="46" customFormat="false" ht="15" hidden="false" customHeight="false" outlineLevel="0" collapsed="false">
      <c r="A46" s="22" t="s">
        <v>71</v>
      </c>
      <c r="B46" s="24" t="n">
        <f aca="false">SEO!N6</f>
        <v>0</v>
      </c>
      <c r="C46" s="24" t="n">
        <f aca="false">SEO!N11</f>
        <v>0</v>
      </c>
      <c r="D46" s="24" t="n">
        <f aca="false">SEO!N30</f>
        <v>95</v>
      </c>
      <c r="E46" s="24" t="n">
        <f aca="false">SEO!N54</f>
        <v>119</v>
      </c>
      <c r="F46" s="24" t="n">
        <f aca="false">SEO!N65</f>
        <v>119</v>
      </c>
    </row>
    <row r="47" customFormat="false" ht="15" hidden="false" customHeight="false" outlineLevel="0" collapsed="false">
      <c r="A47" s="22" t="s">
        <v>72</v>
      </c>
      <c r="B47" s="24" t="n">
        <f aca="false">SEO!O6</f>
        <v>0</v>
      </c>
      <c r="C47" s="24" t="n">
        <f aca="false">SEO!O11</f>
        <v>0</v>
      </c>
      <c r="D47" s="24" t="n">
        <f aca="false">SEO!O30</f>
        <v>1022</v>
      </c>
      <c r="E47" s="24" t="n">
        <f aca="false">SEO!O54</f>
        <v>342</v>
      </c>
      <c r="F47" s="24" t="n">
        <f aca="false">SEO!O65</f>
        <v>317</v>
      </c>
    </row>
    <row r="49" customFormat="false" ht="15" hidden="false" customHeight="false" outlineLevel="0" collapsed="false">
      <c r="A49" s="23" t="s">
        <v>96</v>
      </c>
    </row>
    <row r="50" customFormat="false" ht="15" hidden="false" customHeight="false" outlineLevel="0" collapsed="false">
      <c r="A50" s="13" t="s">
        <v>88</v>
      </c>
      <c r="B50" s="21" t="s">
        <v>89</v>
      </c>
      <c r="C50" s="21" t="s">
        <v>90</v>
      </c>
      <c r="D50" s="21" t="s">
        <v>91</v>
      </c>
      <c r="E50" s="21" t="s">
        <v>92</v>
      </c>
    </row>
    <row r="51" customFormat="false" ht="15" hidden="false" customHeight="false" outlineLevel="0" collapsed="false">
      <c r="A51" s="22" t="s">
        <v>75</v>
      </c>
      <c r="B51" s="24" t="n">
        <f aca="false">Audit!B10</f>
        <v>77</v>
      </c>
      <c r="C51" s="24" t="n">
        <f aca="false">Audit!B29</f>
        <v>88</v>
      </c>
      <c r="D51" s="24" t="n">
        <f aca="false">Audit!B51</f>
        <v>93</v>
      </c>
      <c r="E51" s="24" t="n">
        <f aca="false">Audit!B62</f>
        <v>93</v>
      </c>
    </row>
    <row r="52" customFormat="false" ht="15" hidden="false" customHeight="false" outlineLevel="0" collapsed="false">
      <c r="A52" s="22" t="s">
        <v>76</v>
      </c>
      <c r="B52" s="24" t="n">
        <f aca="false">Audit!C10</f>
        <v>89</v>
      </c>
      <c r="C52" s="24" t="n">
        <f aca="false">Audit!C29</f>
        <v>97</v>
      </c>
      <c r="D52" s="24" t="n">
        <f aca="false">Audit!C51</f>
        <v>98</v>
      </c>
      <c r="E52" s="24" t="n">
        <f aca="false">Audit!C62</f>
        <v>98</v>
      </c>
    </row>
    <row r="53" customFormat="false" ht="15" hidden="false" customHeight="false" outlineLevel="0" collapsed="false">
      <c r="A53" s="22" t="s">
        <v>77</v>
      </c>
      <c r="B53" s="24" t="n">
        <f aca="false">Audit!D10</f>
        <v>84</v>
      </c>
      <c r="C53" s="24" t="n">
        <f aca="false">Audit!D29</f>
        <v>92</v>
      </c>
      <c r="D53" s="24" t="n">
        <f aca="false">Audit!D51</f>
        <v>95</v>
      </c>
      <c r="E53" s="24" t="n">
        <f aca="false">Audit!D62</f>
        <v>97</v>
      </c>
    </row>
    <row r="54" customFormat="false" ht="15" hidden="false" customHeight="false" outlineLevel="0" collapsed="false">
      <c r="A54" s="22" t="s">
        <v>78</v>
      </c>
      <c r="B54" s="24" t="n">
        <f aca="false">Audit!E10</f>
        <v>76</v>
      </c>
      <c r="C54" s="24" t="n">
        <f aca="false">Audit!E29</f>
        <v>91</v>
      </c>
      <c r="D54" s="24" t="n">
        <f aca="false">Audit!E51</f>
        <v>92</v>
      </c>
      <c r="E54" s="24" t="n">
        <f aca="false">Audit!E62</f>
        <v>93</v>
      </c>
    </row>
    <row r="55" customFormat="false" ht="15" hidden="false" customHeight="false" outlineLevel="0" collapsed="false">
      <c r="A55" s="22" t="s">
        <v>79</v>
      </c>
      <c r="B55" s="24" t="n">
        <f aca="false">Audit!F10</f>
        <v>68</v>
      </c>
      <c r="C55" s="24" t="n">
        <f aca="false">Audit!F29</f>
        <v>91</v>
      </c>
      <c r="D55" s="24" t="n">
        <f aca="false">Audit!F51</f>
        <v>118</v>
      </c>
      <c r="E55" s="24" t="n">
        <f aca="false">Audit!F62</f>
        <v>118</v>
      </c>
    </row>
    <row r="56" customFormat="false" ht="15" hidden="false" customHeight="false" outlineLevel="0" collapsed="false">
      <c r="A56" s="22" t="s">
        <v>80</v>
      </c>
      <c r="B56" s="24" t="n">
        <f aca="false">Audit!G10</f>
        <v>91</v>
      </c>
      <c r="C56" s="24" t="n">
        <f aca="false">Audit!G29</f>
        <v>88</v>
      </c>
      <c r="D56" s="24" t="n">
        <f aca="false">Audit!G51</f>
        <v>98</v>
      </c>
      <c r="E56" s="24" t="n">
        <f aca="false">Audit!G62</f>
        <v>98</v>
      </c>
    </row>
    <row r="57" customFormat="false" ht="15" hidden="false" customHeight="false" outlineLevel="0" collapsed="false">
      <c r="A57" s="22" t="s">
        <v>71</v>
      </c>
      <c r="B57" s="24" t="n">
        <f aca="false">Audit!H10</f>
        <v>67</v>
      </c>
      <c r="C57" s="24" t="n">
        <f aca="false">Audit!H29</f>
        <v>92</v>
      </c>
      <c r="D57" s="24" t="n">
        <f aca="false">Audit!H51</f>
        <v>119</v>
      </c>
      <c r="E57" s="24" t="n">
        <f aca="false">Audit!H62</f>
        <v>119</v>
      </c>
    </row>
    <row r="58" customFormat="false" ht="15" hidden="false" customHeight="false" outlineLevel="0" collapsed="false">
      <c r="A58" s="22" t="s">
        <v>81</v>
      </c>
      <c r="B58" s="24" t="n">
        <f aca="false">Audit!I10</f>
        <v>82</v>
      </c>
      <c r="C58" s="24" t="n">
        <f aca="false">Audit!I29</f>
        <v>96</v>
      </c>
      <c r="D58" s="24" t="n">
        <f aca="false">Audit!I51</f>
        <v>92</v>
      </c>
      <c r="E58" s="24" t="n">
        <f aca="false">Audit!I62</f>
        <v>98</v>
      </c>
    </row>
    <row r="59" customFormat="false" ht="15" hidden="false" customHeight="false" outlineLevel="0" collapsed="false">
      <c r="A59" s="22" t="s">
        <v>72</v>
      </c>
      <c r="B59" s="24" t="n">
        <f aca="false">Audit!J10</f>
        <v>0</v>
      </c>
      <c r="C59" s="24" t="n">
        <f aca="false">Audit!J29</f>
        <v>862</v>
      </c>
      <c r="D59" s="24" t="n">
        <f aca="false">Audit!J51</f>
        <v>342</v>
      </c>
      <c r="E59" s="24" t="n">
        <f aca="false">Audit!J62</f>
        <v>317.4</v>
      </c>
    </row>
    <row r="60" customFormat="false" ht="15" hidden="false" customHeight="false" outlineLevel="0" collapsed="false">
      <c r="A60" s="22" t="s">
        <v>82</v>
      </c>
      <c r="B60" s="24" t="n">
        <f aca="false">Audit!K10</f>
        <v>0</v>
      </c>
      <c r="C60" s="24" t="n">
        <f aca="false">Audit!K29</f>
        <v>0</v>
      </c>
      <c r="D60" s="24" t="n">
        <f aca="false">Audit!K51</f>
        <v>276</v>
      </c>
      <c r="E60" s="24" t="n">
        <f aca="false">Audit!K62</f>
        <v>267.5</v>
      </c>
    </row>
    <row r="61" customFormat="false" ht="15" hidden="false" customHeight="false" outlineLevel="0" collapsed="false">
      <c r="A61" s="22" t="s">
        <v>83</v>
      </c>
      <c r="B61" s="24" t="n">
        <f aca="false">Audit!L10</f>
        <v>0</v>
      </c>
      <c r="C61" s="24" t="n">
        <f aca="false">Audit!L29</f>
        <v>0</v>
      </c>
      <c r="D61" s="24" t="n">
        <f aca="false">Audit!L51</f>
        <v>241329</v>
      </c>
      <c r="E61" s="24" t="n">
        <f aca="false">Audit!L62</f>
        <v>241898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2026-10-13T23:25:44Z</dcterms:created>
  <dc:creator>openpyxl</dc:creator>
  <dc:description/>
  <dc:language>en-US</dc:language>
  <cp:lastModifiedBy/>
  <dcterms:modified xsi:type="dcterms:W3CDTF">2026-10-13T23:25:44Z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