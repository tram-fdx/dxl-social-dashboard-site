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<sst xmlns="http://schemas.openxmlformats.org/spreadsheetml/2006/main" count="216" uniqueCount="97">
  <si>
    <t xml:space="preserve">DX Living — dữ liệu báo cáo theo ngày</t>
  </si>
  <si>
    <t xml:space="preserve">Xuất ngày 2026-10-04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</si>
  <si>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</si>
  <si>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</si>
  <si>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</si>
  <si>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</si>
  <si>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</si>
  <si>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</si>
  <si>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</si>
  <si>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</si>
  <si>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</si>
  <si>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</si>
  <si>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</si>
  <si>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</si>
  <si>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</si>
  <si>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</si>
  <si>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</si>
  <si>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</si>
  <si>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</si>
  <si>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</si>
  <si>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</si>
  <si>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</si>
  <si>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</si>
  <si>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91 dòng × 7 chỉ số · 2026-07-05 → 2026-10-03</t>
  </si>
  <si>
    <t xml:space="preserve">Social — 28 ngày</t>
  </si>
  <si>
    <t xml:space="preserve">53 dòng × 14 chỉ số · 2026-07-23 → 2026-10-05</t>
  </si>
  <si>
    <t xml:space="preserve">SEO</t>
  </si>
  <si>
    <t xml:space="preserve">53 dòng × 14 chỉ số · 2026-06-30 → 2026-10-05</t>
  </si>
  <si>
    <t xml:space="preserve">Audit</t>
  </si>
  <si>
    <t xml:space="preserve">50 dòng × 11 chỉ số · 2026-07-27 → 2026-10-05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</si>
  <si>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</si>
  <si>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91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</si>
  <si>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</si>
  <si>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</si>
  <si>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</si>
  <si>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</si>
  <si>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</si>
  <si>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</si>
  <si>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</si>
  <si>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</si>
  <si>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</si>
  <si>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</si>
  <si>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53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</si>
  <si>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</si>
  <si>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</si>
  <si>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</si>
  <si>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</si>
  <si>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</si>
  <si>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</si>
  <si>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</si>
  <si>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</si>
  <si>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</si>
  <si>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</si>
  <si>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</si>
  <si>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</si>
  <si>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</si>
  <si>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</si>
  <si>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</si>
  <si>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53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</si>
  <si>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</si>
  <si>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</si>
  <si>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</si>
  <si>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</si>
  <si>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</si>
  <si>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</si>
  <si>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</si>
  <si>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</si>
  <si>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</si>
  <si>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</si>
  <si>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</si>
  <si>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</si>
  <si>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</si>
  <si>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</si>
  <si>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</si>
  <si>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50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</si>
  <si>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</si>
  <si>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</si>
  <si>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</si>
  <si>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</si>
  <si>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</si>
  <si>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</si>
  <si>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</si>
  <si>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</si>
  <si>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</si>
  <si>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</si>
  <si>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</si>
  <si>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</si>
  <si>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</si>
  <si>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</si>
  <si>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</si>
  <si>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</si>
  <si>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</si>
  <si>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2026-10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</si>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</sst>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3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0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3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0</v>
      </c>
      <c r="G78" s="16" t="n">
        <v>39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3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24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5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6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4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 customFormat="false" ht="15" hidden="false" customHeight="false" outlineLevel="0" collapsed="false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8</v>
      </c>
      <c r="H93" s="16" t="n">
        <v>147</v>
      </c>
    </row>
    <row r="94" customFormat="false" ht="15" hidden="false" customHeight="false" outlineLevel="0" collapsed="false">
      <c r="A94" s="15" t="n">
        <v>46296</v>
      </c>
      <c r="B94" s="16" t="n">
        <v>12</v>
      </c>
      <c r="C94" s="16" t="n">
        <v>35</v>
      </c>
      <c r="D94" s="16" t="n">
        <v>189</v>
      </c>
      <c r="E94" s="16" t="n">
        <v>6</v>
      </c>
      <c r="F94" s="16" t="n">
        <v>7</v>
      </c>
      <c r="G94" s="16" t="n">
        <v>35</v>
      </c>
      <c r="H94" s="16" t="n">
        <v>105</v>
      </c>
    </row>
    <row r="95" customFormat="false" ht="15" hidden="false" customHeight="false" outlineLevel="0" collapsed="false">
      <c r="A95" s="15" t="n">
        <v>46297</v>
      </c>
      <c r="B95" s="16" t="n">
        <v>9</v>
      </c>
      <c r="C95" s="16" t="n">
        <v>55</v>
      </c>
      <c r="D95" s="16" t="n">
        <v>194</v>
      </c>
      <c r="E95" s="16" t="n">
        <v>0</v>
      </c>
      <c r="F95" s="16" t="n">
        <v>3</v>
      </c>
      <c r="G95" s="16" t="n">
        <v>7</v>
      </c>
      <c r="H95" s="16" t="n">
        <v>183</v>
      </c>
    </row>
    <row r="96" customFormat="false" ht="15" hidden="false" customHeight="false" outlineLevel="0" collapsed="false">
      <c r="A96" s="15" t="n">
        <v>46298</v>
      </c>
      <c r="B96" s="16" t="n">
        <v>2</v>
      </c>
      <c r="C96" s="16" t="n">
        <v>6</v>
      </c>
      <c r="D96" s="16" t="n">
        <v>54</v>
      </c>
      <c r="E96" s="16" t="n">
        <v>0</v>
      </c>
      <c r="F96" s="16" t="n">
        <v>1</v>
      </c>
      <c r="G96" s="16" t="n">
        <v>3</v>
      </c>
      <c r="H96" s="16" t="n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  <row r="56" customFormat="false" ht="15" hidden="false" customHeight="false" outlineLevel="0" collapsed="false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  <row r="57" customFormat="false" ht="15" hidden="false" customHeight="false" outlineLevel="0" collapsed="false">
      <c r="A57" s="15" t="n">
        <v>46298</v>
      </c>
      <c r="B57" s="16" t="n">
        <v>116</v>
      </c>
      <c r="C57" s="16" t="n">
        <v>157</v>
      </c>
      <c r="D57" s="16" t="n">
        <v>4412</v>
      </c>
      <c r="E57" s="16" t="n">
        <v>401</v>
      </c>
      <c r="F57" s="16" t="n">
        <v>49</v>
      </c>
      <c r="G57" s="16" t="n">
        <v>32</v>
      </c>
      <c r="H57" s="16" t="n">
        <v>116</v>
      </c>
      <c r="I57" s="16" t="n">
        <v>2610</v>
      </c>
      <c r="J57" s="16" t="n">
        <v>102</v>
      </c>
      <c r="K57" s="16" t="n">
        <v>1263</v>
      </c>
      <c r="L57" s="16" t="n">
        <v>33</v>
      </c>
      <c r="M57" s="16" t="n">
        <v>34</v>
      </c>
      <c r="N57" s="16" t="n">
        <v>7</v>
      </c>
      <c r="O57" s="16" t="n">
        <v>736</v>
      </c>
    </row>
    <row r="58" customFormat="false" ht="15" hidden="false" customHeight="false" outlineLevel="0" collapsed="false">
      <c r="A58" s="15" t="n">
        <v>46300</v>
      </c>
      <c r="B58" s="16" t="n">
        <v>116</v>
      </c>
      <c r="C58" s="16" t="n">
        <v>158</v>
      </c>
      <c r="D58" s="16" t="n">
        <v>4404</v>
      </c>
      <c r="E58" s="16" t="n">
        <v>401</v>
      </c>
      <c r="F58" s="16" t="n">
        <v>49</v>
      </c>
      <c r="G58" s="16" t="n">
        <v>33</v>
      </c>
      <c r="H58" s="16" t="n">
        <v>117</v>
      </c>
      <c r="I58" s="16" t="n">
        <v>2616</v>
      </c>
      <c r="J58" s="16" t="n">
        <v>102</v>
      </c>
      <c r="K58" s="16" t="n">
        <v>1282</v>
      </c>
      <c r="L58" s="16" t="n">
        <v>33</v>
      </c>
      <c r="M58" s="16" t="n">
        <v>36</v>
      </c>
      <c r="N58" s="16" t="n">
        <v>7</v>
      </c>
      <c r="O58" s="16" t="n">
        <v>938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  <row r="56" customFormat="false" ht="15" hidden="false" customHeight="false" outlineLevel="0" collapsed="false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  <row r="57" customFormat="false" ht="15" hidden="false" customHeight="false" outlineLevel="0" collapsed="false">
      <c r="A57" s="15" t="n">
        <v>46298</v>
      </c>
      <c r="B57" s="16" t="n">
        <v>16</v>
      </c>
      <c r="C57" s="16" t="n">
        <v>918</v>
      </c>
      <c r="D57" s="16" t="n">
        <v>882</v>
      </c>
      <c r="E57" s="19" t="n">
        <v>35.45</v>
      </c>
      <c r="F57" s="16" t="n">
        <v>7</v>
      </c>
      <c r="G57" s="16" t="n">
        <v>584</v>
      </c>
      <c r="H57" s="16" t="n">
        <v>402</v>
      </c>
      <c r="I57" s="16" t="n">
        <v>28</v>
      </c>
      <c r="J57" s="16" t="n">
        <v>3</v>
      </c>
      <c r="K57" s="16" t="n">
        <v>923</v>
      </c>
      <c r="L57" s="19" t="n">
        <v>22.6</v>
      </c>
      <c r="M57" s="16" t="n">
        <v>86</v>
      </c>
      <c r="N57" s="16" t="n">
        <v>119</v>
      </c>
      <c r="O57" s="19" t="n">
        <v>326.9</v>
      </c>
    </row>
    <row r="58" customFormat="false" ht="15" hidden="false" customHeight="false" outlineLevel="0" collapsed="false">
      <c r="A58" s="15" t="n">
        <v>46300</v>
      </c>
      <c r="B58" s="16" t="n">
        <v>14</v>
      </c>
      <c r="C58" s="16" t="n">
        <v>918</v>
      </c>
      <c r="D58" s="16" t="n">
        <v>882</v>
      </c>
      <c r="E58" s="19" t="n">
        <v>35.18</v>
      </c>
      <c r="F58" s="16" t="n">
        <v>7</v>
      </c>
      <c r="G58" s="16" t="n">
        <v>597</v>
      </c>
      <c r="H58" s="16" t="n">
        <v>414</v>
      </c>
      <c r="I58" s="16" t="n">
        <v>22</v>
      </c>
      <c r="J58" s="19" t="n">
        <v>2.8</v>
      </c>
      <c r="K58" s="16" t="n">
        <v>778</v>
      </c>
      <c r="L58" s="19" t="n">
        <v>19.3</v>
      </c>
      <c r="M58" s="16" t="n">
        <v>83</v>
      </c>
      <c r="N58" s="16" t="n">
        <v>119</v>
      </c>
      <c r="O58" s="16" t="n"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 customFormat="false" ht="15" hidden="false" customHeight="false" outlineLevel="0" collapsed="false">
      <c r="A53" s="15" t="n">
        <v>46297</v>
      </c>
      <c r="B53" s="16" t="n">
        <v>93</v>
      </c>
      <c r="C53" s="16" t="n">
        <v>99</v>
      </c>
      <c r="D53" s="16" t="n">
        <v>96</v>
      </c>
      <c r="E53" s="16" t="n">
        <v>94</v>
      </c>
      <c r="F53" s="16" t="n">
        <v>118</v>
      </c>
      <c r="G53" s="16" t="n">
        <v>96</v>
      </c>
      <c r="H53" s="16" t="n">
        <v>119</v>
      </c>
      <c r="I53" s="16" t="n">
        <v>98</v>
      </c>
      <c r="J53" s="16" t="n">
        <v>564</v>
      </c>
      <c r="K53" s="16" t="n">
        <v>505</v>
      </c>
      <c r="L53" s="16" t="n">
        <v>241675</v>
      </c>
    </row>
    <row r="54" customFormat="false" ht="15" hidden="false" customHeight="false" outlineLevel="0" collapsed="false">
      <c r="A54" s="15" t="n">
        <v>46298</v>
      </c>
      <c r="B54" s="16" t="n">
        <v>93</v>
      </c>
      <c r="C54" s="16" t="n">
        <v>98</v>
      </c>
      <c r="D54" s="16" t="n">
        <v>97</v>
      </c>
      <c r="E54" s="16" t="n">
        <v>94</v>
      </c>
      <c r="F54" s="16" t="n">
        <v>118</v>
      </c>
      <c r="G54" s="16" t="n">
        <v>98</v>
      </c>
      <c r="H54" s="16" t="n">
        <v>119</v>
      </c>
      <c r="I54" s="16" t="n">
        <v>98</v>
      </c>
      <c r="J54" s="16" t="n">
        <v>327</v>
      </c>
      <c r="K54" s="19" t="n">
        <v>274.5</v>
      </c>
      <c r="L54" s="16" t="n">
        <v>241675</v>
      </c>
    </row>
    <row r="55" customFormat="false" ht="15" hidden="false" customHeight="false" outlineLevel="0" collapsed="false">
      <c r="A55" s="15" t="n">
        <v>46300</v>
      </c>
      <c r="B55" s="16" t="n">
        <v>93</v>
      </c>
      <c r="C55" s="16" t="n">
        <v>98</v>
      </c>
      <c r="D55" s="16" t="n">
        <v>97</v>
      </c>
      <c r="E55" s="16" t="n">
        <v>94</v>
      </c>
      <c r="F55" s="16" t="n">
        <v>118</v>
      </c>
      <c r="G55" s="16" t="n">
        <v>98</v>
      </c>
      <c r="H55" s="16" t="n">
        <v>119</v>
      </c>
      <c r="I55" s="16" t="n">
        <v>98</v>
      </c>
      <c r="J55" s="16" t="n">
        <v>326</v>
      </c>
      <c r="K55" s="19" t="n">
        <v>271.5</v>
      </c>
      <c r="L55" s="16" t="n">
        <v>241675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  <c r="E6" s="21" t="s">
        <v>92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ngày'!B6:B96,'Social — theo ngày'!$A$6:$A$96,"&gt;="&amp;DATE(2026,7,1),'Social — theo ngày'!$A$6:$A$96,"&lt;="&amp;DATE(2026,7,31))</f>
        <v>125</v>
      </c>
      <c r="C7" s="16" t="n">
        <f aca="false">SUMIFS('Social — theo ngày'!B6:B96,'Social — theo ngày'!$A$6:$A$96,"&gt;="&amp;DATE(2026,8,1),'Social — theo ngày'!$A$6:$A$96,"&lt;="&amp;DATE(2026,8,31))</f>
        <v>195</v>
      </c>
      <c r="D7" s="16" t="n">
        <f aca="false">SUMIFS('Social — theo ngày'!B6:B96,'Social — theo ngày'!$A$6:$A$96,"&gt;="&amp;DATE(2026,9,1),'Social — theo ngày'!$A$6:$A$96,"&lt;="&amp;DATE(2026,9,30))</f>
        <v>160</v>
      </c>
      <c r="E7" s="16" t="n">
        <f aca="false">SUMIFS('Social — theo ngày'!B6:B96,'Social — theo ngày'!$A$6:$A$96,"&gt;="&amp;DATE(2026,10,1),'Social — theo ngày'!$A$6:$A$96,"&lt;="&amp;DATE(2026,10,31))</f>
        <v>23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ngày'!C6:C96,'Social — theo ngày'!$A$6:$A$96,"&gt;="&amp;DATE(2026,7,1),'Social — theo ngày'!$A$6:$A$96,"&lt;="&amp;DATE(2026,7,31))</f>
        <v>106</v>
      </c>
      <c r="C8" s="16" t="n">
        <f aca="false">SUMIFS('Social — theo ngày'!C6:C96,'Social — theo ngày'!$A$6:$A$96,"&gt;="&amp;DATE(2026,8,1),'Social — theo ngày'!$A$6:$A$96,"&lt;="&amp;DATE(2026,8,31))</f>
        <v>147</v>
      </c>
      <c r="D8" s="16" t="n">
        <f aca="false">SUMIFS('Social — theo ngày'!C6:C96,'Social — theo ngày'!$A$6:$A$96,"&gt;="&amp;DATE(2026,9,1),'Social — theo ngày'!$A$6:$A$96,"&lt;="&amp;DATE(2026,9,30))</f>
        <v>354</v>
      </c>
      <c r="E8" s="16" t="n">
        <f aca="false">SUMIFS('Social — theo ngày'!C6:C96,'Social — theo ngày'!$A$6:$A$96,"&gt;="&amp;DATE(2026,10,1),'Social — theo ngày'!$A$6:$A$96,"&lt;="&amp;DATE(2026,10,31))</f>
        <v>96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ngày'!D6:D96,'Social — theo ngày'!$A$6:$A$96,"&gt;="&amp;DATE(2026,7,1),'Social — theo ngày'!$A$6:$A$96,"&lt;="&amp;DATE(2026,7,31))</f>
        <v>3579</v>
      </c>
      <c r="C9" s="16" t="n">
        <f aca="false">SUMIFS('Social — theo ngày'!D6:D96,'Social — theo ngày'!$A$6:$A$96,"&gt;="&amp;DATE(2026,8,1),'Social — theo ngày'!$A$6:$A$96,"&lt;="&amp;DATE(2026,8,31))</f>
        <v>4978</v>
      </c>
      <c r="D9" s="16" t="n">
        <f aca="false">SUMIFS('Social — theo ngày'!D6:D96,'Social — theo ngày'!$A$6:$A$96,"&gt;="&amp;DATE(2026,9,1),'Social — theo ngày'!$A$6:$A$96,"&lt;="&amp;DATE(2026,9,30))</f>
        <v>4776</v>
      </c>
      <c r="E9" s="16" t="n">
        <f aca="false">SUMIFS('Social — theo ngày'!D6:D96,'Social — theo ngày'!$A$6:$A$96,"&gt;="&amp;DATE(2026,10,1),'Social — theo ngày'!$A$6:$A$96,"&lt;="&amp;DATE(2026,10,31))</f>
        <v>437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ngày'!E6:E96,'Social — theo ngày'!$A$6:$A$96,"&gt;="&amp;DATE(2026,7,1),'Social — theo ngày'!$A$6:$A$96,"&lt;="&amp;DATE(2026,7,31))</f>
        <v>189</v>
      </c>
      <c r="C10" s="16" t="n">
        <f aca="false">SUMIFS('Social — theo ngày'!E6:E96,'Social — theo ngày'!$A$6:$A$96,"&gt;="&amp;DATE(2026,8,1),'Social — theo ngày'!$A$6:$A$96,"&lt;="&amp;DATE(2026,8,31))</f>
        <v>314</v>
      </c>
      <c r="D10" s="16" t="n">
        <f aca="false">SUMIFS('Social — theo ngày'!E6:E96,'Social — theo ngày'!$A$6:$A$96,"&gt;="&amp;DATE(2026,9,1),'Social — theo ngày'!$A$6:$A$96,"&lt;="&amp;DATE(2026,9,30))</f>
        <v>425</v>
      </c>
      <c r="E10" s="16" t="n">
        <f aca="false">SUMIFS('Social — theo ngày'!E6:E96,'Social — theo ngày'!$A$6:$A$96,"&gt;="&amp;DATE(2026,10,1),'Social — theo ngày'!$A$6:$A$96,"&lt;="&amp;DATE(2026,10,31))</f>
        <v>6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ngày'!F6:F96,'Social — theo ngày'!$A$6:$A$96,"&gt;="&amp;DATE(2026,7,1),'Social — theo ngày'!$A$6:$A$96,"&lt;="&amp;DATE(2026,7,31))</f>
        <v>51</v>
      </c>
      <c r="C11" s="16" t="n">
        <f aca="false">SUMIFS('Social — theo ngày'!F6:F96,'Social — theo ngày'!$A$6:$A$96,"&gt;="&amp;DATE(2026,8,1),'Social — theo ngày'!$A$6:$A$96,"&lt;="&amp;DATE(2026,8,31))</f>
        <v>69</v>
      </c>
      <c r="D11" s="16" t="n">
        <f aca="false">SUMIFS('Social — theo ngày'!F6:F96,'Social — theo ngày'!$A$6:$A$96,"&gt;="&amp;DATE(2026,9,1),'Social — theo ngày'!$A$6:$A$96,"&lt;="&amp;DATE(2026,9,30))</f>
        <v>25</v>
      </c>
      <c r="E11" s="16" t="n">
        <f aca="false">SUMIFS('Social — theo ngày'!F6:F96,'Social — theo ngày'!$A$6:$A$96,"&gt;="&amp;DATE(2026,10,1),'Social — theo ngày'!$A$6:$A$96,"&lt;="&amp;DATE(2026,10,31))</f>
        <v>11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ngày'!G6:G96,'Social — theo ngày'!$A$6:$A$96,"&gt;="&amp;DATE(2026,7,1),'Social — theo ngày'!$A$6:$A$96,"&lt;="&amp;DATE(2026,7,31))</f>
        <v>275</v>
      </c>
      <c r="C12" s="16" t="n">
        <f aca="false">SUMIFS('Social — theo ngày'!G6:G96,'Social — theo ngày'!$A$6:$A$96,"&gt;="&amp;DATE(2026,8,1),'Social — theo ngày'!$A$6:$A$96,"&lt;="&amp;DATE(2026,8,31))</f>
        <v>387</v>
      </c>
      <c r="D12" s="16" t="n">
        <f aca="false">SUMIFS('Social — theo ngày'!G6:G96,'Social — theo ngày'!$A$6:$A$96,"&gt;="&amp;DATE(2026,9,1),'Social — theo ngày'!$A$6:$A$96,"&lt;="&amp;DATE(2026,9,30))</f>
        <v>174</v>
      </c>
      <c r="E12" s="16" t="n">
        <f aca="false">SUMIFS('Social — theo ngày'!G6:G96,'Social — theo ngày'!$A$6:$A$96,"&gt;="&amp;DATE(2026,10,1),'Social — theo ngày'!$A$6:$A$96,"&lt;="&amp;DATE(2026,10,31))</f>
        <v>45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ngày'!H6:H96,'Social — theo ngày'!$A$6:$A$96,"&gt;="&amp;DATE(2026,7,1),'Social — theo ngày'!$A$6:$A$96,"&lt;="&amp;DATE(2026,7,31))</f>
        <v>869</v>
      </c>
      <c r="C13" s="16" t="n">
        <f aca="false">SUMIFS('Social — theo ngày'!H6:H96,'Social — theo ngày'!$A$6:$A$96,"&gt;="&amp;DATE(2026,8,1),'Social — theo ngày'!$A$6:$A$96,"&lt;="&amp;DATE(2026,8,31))</f>
        <v>1161</v>
      </c>
      <c r="D13" s="16" t="n">
        <f aca="false">SUMIFS('Social — theo ngày'!H6:H96,'Social — theo ngày'!$A$6:$A$96,"&gt;="&amp;DATE(2026,9,1),'Social — theo ngày'!$A$6:$A$96,"&lt;="&amp;DATE(2026,9,30))</f>
        <v>2465</v>
      </c>
      <c r="E13" s="16" t="n">
        <f aca="false">SUMIFS('Social — theo ngày'!H6:H96,'Social — theo ngày'!$A$6:$A$96,"&gt;="&amp;DATE(2026,10,1),'Social — theo ngày'!$A$6:$A$96,"&lt;="&amp;DATE(2026,10,31))</f>
        <v>305</v>
      </c>
    </row>
    <row r="15" customFormat="false" ht="15" hidden="false" customHeight="false" outlineLevel="0" collapsed="false">
      <c r="A15" s="23" t="s">
        <v>93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92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ngày'!B58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ngày'!C58</f>
        <v>158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ngày'!D58</f>
        <v>4404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ngày'!E58</f>
        <v>401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ngày'!F58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ngày'!G58</f>
        <v>33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ngày'!H58</f>
        <v>117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ngày'!I58</f>
        <v>2616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ngày'!J58</f>
        <v>102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ngày'!K58</f>
        <v>1282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ngày'!L58</f>
        <v>33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ngày'!M58</f>
        <v>36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ngày'!N58</f>
        <v>7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ngày'!O58</f>
        <v>938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92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SEO!B58</f>
        <v>14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SEO!C58</f>
        <v>918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SEO!D58</f>
        <v>882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SEO!E58</f>
        <v>35.18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SEO!F58</f>
        <v>7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SEO!G58</f>
        <v>597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SEO!H58</f>
        <v>414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SEO!I58</f>
        <v>22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SEO!J58</f>
        <v>2.8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SEO!K58</f>
        <v>778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SEO!L58</f>
        <v>19.3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SEO!M58</f>
        <v>83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SEO!N58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SEO!O58</f>
        <v>326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92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Audit!B55</f>
        <v>93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Audit!C55</f>
        <v>98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Audit!D55</f>
        <v>97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Audit!E55</f>
        <v>94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Audit!F55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Audit!G55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Audit!H55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Audit!I55</f>
        <v>98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Audit!J55</f>
        <v>326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Audit!K55</f>
        <v>271.5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Audit!L55</f>
        <v>241675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2026-10-04T23:42:11Z</dcterms:created>
  <dc:creator>openpyxl</dc:creator>
  <dc:description/>
  <dc:language>en-US</dc:language>
  <cp:lastModifiedBy/>
  <dcterms:modified xsi:type="dcterms:W3CDTF">2026-10-04T23:42:11Z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