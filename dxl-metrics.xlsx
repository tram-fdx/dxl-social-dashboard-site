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<sst xmlns="http://schemas.openxmlformats.org/spreadsheetml/2006/main" count="212" uniqueCount="96">
  <si>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</si>
  <si>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2026-09-26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</si>
  <si>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</si>
  <si>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</si>
  <si>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</si>
  <si>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</si>
  <si>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</si>
  <si>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</si>
  <si>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</si>
  <si>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</si>
  <si>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</si>
  <si>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</si>
  <si>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</si>
  <si>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</si>
  <si>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</si>
  <si>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</si>
  <si>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</si>
  <si>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</si>
  <si>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</si>
  <si>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</si>
  <si>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</si>
  <si>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</si>
  <si>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</si>
  <si>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82 dòng × 7 chỉ số · 2026-07-05 → 2026-09-24</t>
  </si>
  <si>
    <t xml:space="preserve">Social — 28 ngày</t>
  </si>
  <si>
    <t xml:space="preserve">46 dòng × 14 chỉ số · 2026-07-23 → 2026-09-26</t>
  </si>
  <si>
    <t xml:space="preserve">SEO</t>
  </si>
  <si>
    <t xml:space="preserve">46 dòng × 14 chỉ số · 2026-06-30 → 2026-09-26</t>
  </si>
  <si>
    <t xml:space="preserve">Audit</t>
  </si>
  <si>
    <t xml:space="preserve">43 dòng × 11 chỉ số · 2026-07-27 → 2026-09-26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</si>
  <si>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</si>
  <si>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82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</si>
  <si>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</si>
  <si>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</si>
  <si>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</si>
  <si>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</si>
  <si>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</si>
  <si>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</si>
  <si>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</si>
  <si>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</si>
  <si>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</si>
  <si>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</si>
  <si>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46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</si>
  <si>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</si>
  <si>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</si>
  <si>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</si>
  <si>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</si>
  <si>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</si>
  <si>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</si>
  <si>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</si>
  <si>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</si>
  <si>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</si>
  <si>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</si>
  <si>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</si>
  <si>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</si>
  <si>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</si>
  <si>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</si>
  <si>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</si>
  <si>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46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</si>
  <si>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</si>
  <si>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</si>
  <si>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</si>
  <si>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</si>
  <si>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</si>
  <si>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</si>
  <si>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</si>
  <si>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</si>
  <si>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</si>
  <si>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</si>
  <si>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</si>
  <si>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</si>
  <si>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</si>
  <si>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</si>
  <si>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</si>
  <si>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43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</si>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</sst>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ngày'!B6:B87,'Social — theo ngày'!$A$6:$A$87,"&gt;="&amp;DATE(2026,7,1),'Social — theo ngày'!$A$6:$A$87,"&lt;="&amp;DATE(2026,7,31))</f>
        <v>125</v>
      </c>
      <c r="C7" s="16" t="n">
        <f aca="false">SUMIFS('Social — theo ngày'!B6:B87,'Social — theo ngày'!$A$6:$A$87,"&gt;="&amp;DATE(2026,8,1),'Social — theo ngày'!$A$6:$A$87,"&lt;="&amp;DATE(2026,8,31))</f>
        <v>195</v>
      </c>
      <c r="D7" s="16" t="n">
        <f aca="false">SUMIFS('Social — theo ngày'!B6:B87,'Social — theo ngày'!$A$6:$A$87,"&gt;="&amp;DATE(2026,9,1),'Social — theo ngày'!$A$6:$A$87,"&lt;="&amp;DATE(2026,9,30))</f>
        <v>124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ngày'!C6:C87,'Social — theo ngày'!$A$6:$A$87,"&gt;="&amp;DATE(2026,7,1),'Social — theo ngày'!$A$6:$A$87,"&lt;="&amp;DATE(2026,7,31))</f>
        <v>106</v>
      </c>
      <c r="C8" s="16" t="n">
        <f aca="false">SUMIFS('Social — theo ngày'!C6:C87,'Social — theo ngày'!$A$6:$A$87,"&gt;="&amp;DATE(2026,8,1),'Social — theo ngày'!$A$6:$A$87,"&lt;="&amp;DATE(2026,8,31))</f>
        <v>147</v>
      </c>
      <c r="D8" s="16" t="n">
        <f aca="false">SUMIFS('Social — theo ngày'!C6:C87,'Social — theo ngày'!$A$6:$A$87,"&gt;="&amp;DATE(2026,9,1),'Social — theo ngày'!$A$6:$A$87,"&lt;="&amp;DATE(2026,9,30))</f>
        <v>347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ngày'!D6:D87,'Social — theo ngày'!$A$6:$A$87,"&gt;="&amp;DATE(2026,7,1),'Social — theo ngày'!$A$6:$A$87,"&lt;="&amp;DATE(2026,7,31))</f>
        <v>3579</v>
      </c>
      <c r="C9" s="16" t="n">
        <f aca="false">SUMIFS('Social — theo ngày'!D6:D87,'Social — theo ngày'!$A$6:$A$87,"&gt;="&amp;DATE(2026,8,1),'Social — theo ngày'!$A$6:$A$87,"&lt;="&amp;DATE(2026,8,31))</f>
        <v>4978</v>
      </c>
      <c r="D9" s="16" t="n">
        <f aca="false">SUMIFS('Social — theo ngày'!D6:D87,'Social — theo ngày'!$A$6:$A$87,"&gt;="&amp;DATE(2026,9,1),'Social — theo ngày'!$A$6:$A$87,"&lt;="&amp;DATE(2026,9,30))</f>
        <v>4093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ngày'!E6:E87,'Social — theo ngày'!$A$6:$A$87,"&gt;="&amp;DATE(2026,7,1),'Social — theo ngày'!$A$6:$A$87,"&lt;="&amp;DATE(2026,7,31))</f>
        <v>189</v>
      </c>
      <c r="C10" s="16" t="n">
        <f aca="false">SUMIFS('Social — theo ngày'!E6:E87,'Social — theo ngày'!$A$6:$A$87,"&gt;="&amp;DATE(2026,8,1),'Social — theo ngày'!$A$6:$A$87,"&lt;="&amp;DATE(2026,8,31))</f>
        <v>314</v>
      </c>
      <c r="D10" s="16" t="n">
        <f aca="false">SUMIFS('Social — theo ngày'!E6:E87,'Social — theo ngày'!$A$6:$A$87,"&gt;="&amp;DATE(2026,9,1),'Social — theo ngày'!$A$6:$A$87,"&lt;="&amp;DATE(2026,9,30))</f>
        <v>396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ngày'!F6:F87,'Social — theo ngày'!$A$6:$A$87,"&gt;="&amp;DATE(2026,7,1),'Social — theo ngày'!$A$6:$A$87,"&lt;="&amp;DATE(2026,7,31))</f>
        <v>51</v>
      </c>
      <c r="C11" s="16" t="n">
        <f aca="false">SUMIFS('Social — theo ngày'!F6:F87,'Social — theo ngày'!$A$6:$A$87,"&gt;="&amp;DATE(2026,8,1),'Social — theo ngày'!$A$6:$A$87,"&lt;="&amp;DATE(2026,8,31))</f>
        <v>69</v>
      </c>
      <c r="D11" s="16" t="n">
        <f aca="false">SUMIFS('Social — theo ngày'!F6:F87,'Social — theo ngày'!$A$6:$A$87,"&gt;="&amp;DATE(2026,9,1),'Social — theo ngày'!$A$6:$A$87,"&lt;="&amp;DATE(2026,9,30))</f>
        <v>13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ngày'!G6:G87,'Social — theo ngày'!$A$6:$A$87,"&gt;="&amp;DATE(2026,7,1),'Social — theo ngày'!$A$6:$A$87,"&lt;="&amp;DATE(2026,7,31))</f>
        <v>275</v>
      </c>
      <c r="C12" s="16" t="n">
        <f aca="false">SUMIFS('Social — theo ngày'!G6:G87,'Social — theo ngày'!$A$6:$A$87,"&gt;="&amp;DATE(2026,8,1),'Social — theo ngày'!$A$6:$A$87,"&lt;="&amp;DATE(2026,8,31))</f>
        <v>387</v>
      </c>
      <c r="D12" s="16" t="n">
        <f aca="false">SUMIFS('Social — theo ngày'!G6:G87,'Social — theo ngày'!$A$6:$A$87,"&gt;="&amp;DATE(2026,9,1),'Social — theo ngày'!$A$6:$A$87,"&lt;="&amp;DATE(2026,9,30))</f>
        <v>149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ngày'!H6:H87,'Social — theo ngày'!$A$6:$A$87,"&gt;="&amp;DATE(2026,7,1),'Social — theo ngày'!$A$6:$A$87,"&lt;="&amp;DATE(2026,7,31))</f>
        <v>869</v>
      </c>
      <c r="C13" s="16" t="n">
        <f aca="false">SUMIFS('Social — theo ngày'!H6:H87,'Social — theo ngày'!$A$6:$A$87,"&gt;="&amp;DATE(2026,8,1),'Social — theo ngày'!$A$6:$A$87,"&lt;="&amp;DATE(2026,8,31))</f>
        <v>1161</v>
      </c>
      <c r="D13" s="16" t="n">
        <f aca="false">SUMIFS('Social — theo ngày'!H6:H87,'Social — theo ngày'!$A$6:$A$87,"&gt;="&amp;DATE(2026,9,1),'Social — theo ngày'!$A$6:$A$87,"&lt;="&amp;DATE(2026,9,30))</f>
        <v>2186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ngày'!B51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ngày'!C51</f>
        <v>140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ngày'!D51</f>
        <v>4509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ngày'!E51</f>
        <v>433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ngày'!F51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ngày'!G51</f>
        <v>15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ngày'!H51</f>
        <v>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ngày'!I51</f>
        <v>2397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ngày'!J51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ngày'!K51</f>
        <v>1229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ngày'!L51</f>
        <v>28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ngày'!M51</f>
        <v>44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ngày'!N51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ngày'!O51</f>
        <v>634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SEO!B51</f>
        <v>14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SEO!C51</f>
        <v>701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SEO!D51</f>
        <v>665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SEO!E51</f>
        <v>34.59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SEO!F51</f>
        <v>3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SEO!G51</f>
        <v>558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SEO!H51</f>
        <v>387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SEO!I51</f>
        <v>34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SEO!J51</f>
        <v>3.4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SEO!K51</f>
        <v>1013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SEO!L51</f>
        <v>28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SEO!M51</f>
        <v>81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SEO!N51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SEO!O51</f>
        <v>337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Audit!B48</f>
        <v>92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Audit!C48</f>
        <v>96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Audit!D48</f>
        <v>95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Audit!E48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Audit!F48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Audit!G48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Audit!H48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Audit!I48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Audit!J48</f>
        <v>337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Audit!K48</f>
        <v>271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Audit!L48</f>
        <v>239577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2026-09-26T05:53:09Z</dcterms:created>
  <dc:creator>openpyxl</dc:creator>
  <dc:description/>
  <dc:language>en-US</dc:language>
  <cp:lastModifiedBy/>
  <dcterms:modified xsi:type="dcterms:W3CDTF">2026-09-26T05:53:09Z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