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<sst xmlns="http://schemas.openxmlformats.org/spreadsheetml/2006/main" count="216" uniqueCount="97">
  <si>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</si>
  <si>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2026-10-03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</si>
  <si>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</si>
  <si>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</si>
  <si>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</si>
  <si>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</si>
  <si>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</si>
  <si>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</si>
  <si>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</si>
  <si>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</si>
  <si>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</si>
  <si>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</si>
  <si>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</si>
  <si>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</si>
  <si>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</si>
  <si>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</si>
  <si>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</si>
  <si>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</si>
  <si>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</si>
  <si>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</si>
  <si>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</si>
  <si>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</si>
  <si>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</si>
  <si>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90 dòng × 7 chỉ số · 2026-07-05 → 2026-10-02</t>
  </si>
  <si>
    <t xml:space="preserve">Social — 28 ngày</t>
  </si>
  <si>
    <t xml:space="preserve">52 dòng × 14 chỉ số · 2026-07-23 → 2026-10-03</t>
  </si>
  <si>
    <t xml:space="preserve">SEO</t>
  </si>
  <si>
    <t xml:space="preserve">52 dòng × 14 chỉ số · 2026-06-30 → 2026-10-03</t>
  </si>
  <si>
    <t xml:space="preserve">Audit</t>
  </si>
  <si>
    <t xml:space="preserve">49 dòng × 11 chỉ số · 2026-07-27 → 2026-10-03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</si>
  <si>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</si>
  <si>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90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</si>
  <si>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</si>
  <si>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</si>
  <si>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</si>
  <si>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</si>
  <si>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</si>
  <si>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</si>
  <si>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</si>
  <si>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</si>
  <si>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</si>
  <si>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</si>
  <si>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52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</si>
  <si>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</si>
  <si>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</si>
  <si>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</si>
  <si>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</si>
  <si>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</si>
  <si>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</si>
  <si>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</si>
  <si>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</si>
  <si>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</si>
  <si>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</si>
  <si>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</si>
  <si>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</si>
  <si>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</si>
  <si>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</si>
  <si>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</si>
  <si>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52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</si>
  <si>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</si>
  <si>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</si>
  <si>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</si>
  <si>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</si>
  <si>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</si>
  <si>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</si>
  <si>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</si>
  <si>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</si>
  <si>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</si>
  <si>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</si>
  <si>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</si>
  <si>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</si>
  <si>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</si>
  <si>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</si>
  <si>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</si>
  <si>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49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</si>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</sst>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6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4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8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35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ngày'!B6:B95,'Social — theo ngày'!$A$6:$A$95,"&gt;="&amp;DATE(2026,7,1),'Social — theo ngày'!$A$6:$A$95,"&lt;="&amp;DATE(2026,7,31))</f>
        <v>125</v>
      </c>
      <c r="C7" s="16" t="n">
        <f aca="false">SUMIFS('Social — theo ngày'!B6:B95,'Social — theo ngày'!$A$6:$A$95,"&gt;="&amp;DATE(2026,8,1),'Social — theo ngày'!$A$6:$A$95,"&lt;="&amp;DATE(2026,8,31))</f>
        <v>195</v>
      </c>
      <c r="D7" s="16" t="n">
        <f aca="false">SUMIFS('Social — theo ngày'!B6:B95,'Social — theo ngày'!$A$6:$A$95,"&gt;="&amp;DATE(2026,9,1),'Social — theo ngày'!$A$6:$A$95,"&lt;="&amp;DATE(2026,9,30))</f>
        <v>160</v>
      </c>
      <c r="E7" s="16" t="n">
        <f aca="false">SUMIFS('Social — theo ngày'!B6:B95,'Social — theo ngày'!$A$6:$A$95,"&gt;="&amp;DATE(2026,10,1),'Social — theo ngày'!$A$6:$A$95,"&lt;="&amp;DATE(2026,10,31))</f>
        <v>21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ngày'!C6:C95,'Social — theo ngày'!$A$6:$A$95,"&gt;="&amp;DATE(2026,7,1),'Social — theo ngày'!$A$6:$A$95,"&lt;="&amp;DATE(2026,7,31))</f>
        <v>106</v>
      </c>
      <c r="C8" s="16" t="n">
        <f aca="false">SUMIFS('Social — theo ngày'!C6:C95,'Social — theo ngày'!$A$6:$A$95,"&gt;="&amp;DATE(2026,8,1),'Social — theo ngày'!$A$6:$A$95,"&lt;="&amp;DATE(2026,8,31))</f>
        <v>147</v>
      </c>
      <c r="D8" s="16" t="n">
        <f aca="false">SUMIFS('Social — theo ngày'!C6:C95,'Social — theo ngày'!$A$6:$A$95,"&gt;="&amp;DATE(2026,9,1),'Social — theo ngày'!$A$6:$A$95,"&lt;="&amp;DATE(2026,9,30))</f>
        <v>354</v>
      </c>
      <c r="E8" s="16" t="n">
        <f aca="false">SUMIFS('Social — theo ngày'!C6:C95,'Social — theo ngày'!$A$6:$A$95,"&gt;="&amp;DATE(2026,10,1),'Social — theo ngày'!$A$6:$A$95,"&lt;="&amp;DATE(2026,10,31))</f>
        <v>90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ngày'!D6:D95,'Social — theo ngày'!$A$6:$A$95,"&gt;="&amp;DATE(2026,7,1),'Social — theo ngày'!$A$6:$A$95,"&lt;="&amp;DATE(2026,7,31))</f>
        <v>3579</v>
      </c>
      <c r="C9" s="16" t="n">
        <f aca="false">SUMIFS('Social — theo ngày'!D6:D95,'Social — theo ngày'!$A$6:$A$95,"&gt;="&amp;DATE(2026,8,1),'Social — theo ngày'!$A$6:$A$95,"&lt;="&amp;DATE(2026,8,31))</f>
        <v>4978</v>
      </c>
      <c r="D9" s="16" t="n">
        <f aca="false">SUMIFS('Social — theo ngày'!D6:D95,'Social — theo ngày'!$A$6:$A$95,"&gt;="&amp;DATE(2026,9,1),'Social — theo ngày'!$A$6:$A$95,"&lt;="&amp;DATE(2026,9,30))</f>
        <v>4776</v>
      </c>
      <c r="E9" s="16" t="n">
        <f aca="false">SUMIFS('Social — theo ngày'!D6:D95,'Social — theo ngày'!$A$6:$A$95,"&gt;="&amp;DATE(2026,10,1),'Social — theo ngày'!$A$6:$A$95,"&lt;="&amp;DATE(2026,10,31))</f>
        <v>383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ngày'!E6:E95,'Social — theo ngày'!$A$6:$A$95,"&gt;="&amp;DATE(2026,7,1),'Social — theo ngày'!$A$6:$A$95,"&lt;="&amp;DATE(2026,7,31))</f>
        <v>189</v>
      </c>
      <c r="C10" s="16" t="n">
        <f aca="false">SUMIFS('Social — theo ngày'!E6:E95,'Social — theo ngày'!$A$6:$A$95,"&gt;="&amp;DATE(2026,8,1),'Social — theo ngày'!$A$6:$A$95,"&lt;="&amp;DATE(2026,8,31))</f>
        <v>314</v>
      </c>
      <c r="D10" s="16" t="n">
        <f aca="false">SUMIFS('Social — theo ngày'!E6:E95,'Social — theo ngày'!$A$6:$A$95,"&gt;="&amp;DATE(2026,9,1),'Social — theo ngày'!$A$6:$A$95,"&lt;="&amp;DATE(2026,9,30))</f>
        <v>425</v>
      </c>
      <c r="E10" s="16" t="n">
        <f aca="false">SUMIFS('Social — theo ngày'!E6:E95,'Social — theo ngày'!$A$6:$A$95,"&gt;="&amp;DATE(2026,10,1),'Social — theo ngày'!$A$6:$A$95,"&lt;="&amp;DATE(2026,10,31))</f>
        <v>6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ngày'!F6:F95,'Social — theo ngày'!$A$6:$A$95,"&gt;="&amp;DATE(2026,7,1),'Social — theo ngày'!$A$6:$A$95,"&lt;="&amp;DATE(2026,7,31))</f>
        <v>51</v>
      </c>
      <c r="C11" s="16" t="n">
        <f aca="false">SUMIFS('Social — theo ngày'!F6:F95,'Social — theo ngày'!$A$6:$A$95,"&gt;="&amp;DATE(2026,8,1),'Social — theo ngày'!$A$6:$A$95,"&lt;="&amp;DATE(2026,8,31))</f>
        <v>69</v>
      </c>
      <c r="D11" s="16" t="n">
        <f aca="false">SUMIFS('Social — theo ngày'!F6:F95,'Social — theo ngày'!$A$6:$A$95,"&gt;="&amp;DATE(2026,9,1),'Social — theo ngày'!$A$6:$A$95,"&lt;="&amp;DATE(2026,9,30))</f>
        <v>25</v>
      </c>
      <c r="E11" s="16" t="n">
        <f aca="false">SUMIFS('Social — theo ngày'!F6:F95,'Social — theo ngày'!$A$6:$A$95,"&gt;="&amp;DATE(2026,10,1),'Social — theo ngày'!$A$6:$A$95,"&lt;="&amp;DATE(2026,10,31))</f>
        <v>10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ngày'!G6:G95,'Social — theo ngày'!$A$6:$A$95,"&gt;="&amp;DATE(2026,7,1),'Social — theo ngày'!$A$6:$A$95,"&lt;="&amp;DATE(2026,7,31))</f>
        <v>275</v>
      </c>
      <c r="C12" s="16" t="n">
        <f aca="false">SUMIFS('Social — theo ngày'!G6:G95,'Social — theo ngày'!$A$6:$A$95,"&gt;="&amp;DATE(2026,8,1),'Social — theo ngày'!$A$6:$A$95,"&lt;="&amp;DATE(2026,8,31))</f>
        <v>387</v>
      </c>
      <c r="D12" s="16" t="n">
        <f aca="false">SUMIFS('Social — theo ngày'!G6:G95,'Social — theo ngày'!$A$6:$A$95,"&gt;="&amp;DATE(2026,9,1),'Social — theo ngày'!$A$6:$A$95,"&lt;="&amp;DATE(2026,9,30))</f>
        <v>174</v>
      </c>
      <c r="E12" s="16" t="n">
        <f aca="false">SUMIFS('Social — theo ngày'!G6:G95,'Social — theo ngày'!$A$6:$A$95,"&gt;="&amp;DATE(2026,10,1),'Social — theo ngày'!$A$6:$A$95,"&lt;="&amp;DATE(2026,10,31))</f>
        <v>42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ngày'!H6:H95,'Social — theo ngày'!$A$6:$A$95,"&gt;="&amp;DATE(2026,7,1),'Social — theo ngày'!$A$6:$A$95,"&lt;="&amp;DATE(2026,7,31))</f>
        <v>869</v>
      </c>
      <c r="C13" s="16" t="n">
        <f aca="false">SUMIFS('Social — theo ngày'!H6:H95,'Social — theo ngày'!$A$6:$A$95,"&gt;="&amp;DATE(2026,8,1),'Social — theo ngày'!$A$6:$A$95,"&lt;="&amp;DATE(2026,8,31))</f>
        <v>1161</v>
      </c>
      <c r="D13" s="16" t="n">
        <f aca="false">SUMIFS('Social — theo ngày'!H6:H95,'Social — theo ngày'!$A$6:$A$95,"&gt;="&amp;DATE(2026,9,1),'Social — theo ngày'!$A$6:$A$95,"&lt;="&amp;DATE(2026,9,30))</f>
        <v>2465</v>
      </c>
      <c r="E13" s="16" t="n">
        <f aca="false">SUMIFS('Social — theo ngày'!H6:H95,'Social — theo ngày'!$A$6:$A$95,"&gt;="&amp;DATE(2026,10,1),'Social — theo ngày'!$A$6:$A$95,"&lt;="&amp;DATE(2026,10,31))</f>
        <v>288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ngày'!B57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ngày'!C57</f>
        <v>157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ngày'!D57</f>
        <v>4412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ngày'!E57</f>
        <v>401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ngày'!F57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ngày'!G57</f>
        <v>32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ngày'!H57</f>
        <v>116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ngày'!I57</f>
        <v>2610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ngày'!J57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ngày'!K57</f>
        <v>1263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ngày'!L57</f>
        <v>33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ngày'!M57</f>
        <v>34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ngày'!N57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ngày'!O57</f>
        <v>736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SEO!B57</f>
        <v>16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SEO!C57</f>
        <v>918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SEO!D57</f>
        <v>882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SEO!E57</f>
        <v>35.45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SEO!F57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SEO!G57</f>
        <v>584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SEO!H57</f>
        <v>402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SEO!I57</f>
        <v>28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SEO!J57</f>
        <v>3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SEO!K57</f>
        <v>923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SEO!L57</f>
        <v>22.6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SEO!M57</f>
        <v>86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SEO!N57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SEO!O57</f>
        <v>326.9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Audit!B54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Audit!C54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Audit!D54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Audit!E54</f>
        <v>94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Audit!F54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Audit!G54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Audit!H54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Audit!I54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Audit!J54</f>
        <v>327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Audit!K54</f>
        <v>274.5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Audit!L54</f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2026-10-03T07:45:13Z</dcterms:created>
  <dc:creator>openpyxl</dc:creator>
  <dc:description/>
  <dc:language>en-US</dc:language>
  <cp:lastModifiedBy/>
  <dcterms:modified xsi:type="dcterms:W3CDTF">2026-10-03T07:45:13Z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