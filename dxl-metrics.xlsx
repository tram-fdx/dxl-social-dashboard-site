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<sst xmlns="http://schemas.openxmlformats.org/spreadsheetml/2006/main" count="216" uniqueCount="97">
  <si>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</si>
  <si>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2026-10-15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</si>
  <si>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</si>
  <si>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</si>
  <si>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</si>
  <si>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</si>
  <si>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</si>
  <si>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</si>
  <si>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</si>
  <si>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</si>
  <si>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</si>
  <si>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</si>
  <si>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</si>
  <si>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</si>
  <si>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</si>
  <si>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</si>
  <si>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</si>
  <si>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</si>
  <si>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</si>
  <si>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</si>
  <si>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</si>
  <si>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</si>
  <si>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</si>
  <si>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102 dòng × 7 chỉ số · 2026-07-05 → 2026-10-14</t>
  </si>
  <si>
    <t xml:space="preserve">Social — 28 ngày</t>
  </si>
  <si>
    <t xml:space="preserve">62 dòng × 14 chỉ số · 2026-07-23 → 2026-10-16</t>
  </si>
  <si>
    <t xml:space="preserve">SEO</t>
  </si>
  <si>
    <t xml:space="preserve">62 dòng × 14 chỉ số · 2026-06-30 → 2026-10-16</t>
  </si>
  <si>
    <t xml:space="preserve">Audit</t>
  </si>
  <si>
    <t xml:space="preserve">59 dòng × 11 chỉ số · 2026-07-27 → 2026-10-16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</si>
  <si>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</si>
  <si>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102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</si>
  <si>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</si>
  <si>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</si>
  <si>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</si>
  <si>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</si>
  <si>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</si>
  <si>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</si>
  <si>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</si>
  <si>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</si>
  <si>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</si>
  <si>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</si>
  <si>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62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</si>
  <si>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</si>
  <si>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</si>
  <si>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</si>
  <si>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</si>
  <si>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</si>
  <si>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</si>
  <si>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</si>
  <si>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</si>
  <si>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</si>
  <si>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</si>
  <si>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</si>
  <si>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</si>
  <si>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</si>
  <si>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</si>
  <si>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</si>
  <si>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62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</si>
  <si>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</si>
  <si>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</si>
  <si>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</si>
  <si>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</si>
  <si>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</si>
  <si>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</si>
  <si>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</si>
  <si>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</si>
  <si>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</si>
  <si>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</si>
  <si>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</si>
  <si>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</si>
  <si>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</si>
  <si>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</si>
  <si>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</si>
  <si>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59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</si>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</sst>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ngày'!B6:B107,'Social — theo ngày'!$A$6:$A$107,"&gt;="&amp;DATE(2026,7,1),'Social — theo ngày'!$A$6:$A$107,"&lt;="&amp;DATE(2026,7,31))</f>
        <v>125</v>
      </c>
      <c r="C7" s="16" t="n">
        <f aca="false">SUMIFS('Social — theo ngày'!B6:B107,'Social — theo ngày'!$A$6:$A$107,"&gt;="&amp;DATE(2026,8,1),'Social — theo ngày'!$A$6:$A$107,"&lt;="&amp;DATE(2026,8,31))</f>
        <v>195</v>
      </c>
      <c r="D7" s="16" t="n">
        <f aca="false">SUMIFS('Social — theo ngày'!B6:B107,'Social — theo ngày'!$A$6:$A$107,"&gt;="&amp;DATE(2026,9,1),'Social — theo ngày'!$A$6:$A$107,"&lt;="&amp;DATE(2026,9,30))</f>
        <v>160</v>
      </c>
      <c r="E7" s="16" t="n">
        <f aca="false">SUMIFS('Social — theo ngày'!B6:B107,'Social — theo ngày'!$A$6:$A$107,"&gt;="&amp;DATE(2026,10,1),'Social — theo ngày'!$A$6:$A$107,"&lt;="&amp;DATE(2026,10,31))</f>
        <v>102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ngày'!C6:C107,'Social — theo ngày'!$A$6:$A$107,"&gt;="&amp;DATE(2026,7,1),'Social — theo ngày'!$A$6:$A$107,"&lt;="&amp;DATE(2026,7,31))</f>
        <v>106</v>
      </c>
      <c r="C8" s="16" t="n">
        <f aca="false">SUMIFS('Social — theo ngày'!C6:C107,'Social — theo ngày'!$A$6:$A$107,"&gt;="&amp;DATE(2026,8,1),'Social — theo ngày'!$A$6:$A$107,"&lt;="&amp;DATE(2026,8,31))</f>
        <v>147</v>
      </c>
      <c r="D8" s="16" t="n">
        <f aca="false">SUMIFS('Social — theo ngày'!C6:C107,'Social — theo ngày'!$A$6:$A$107,"&gt;="&amp;DATE(2026,9,1),'Social — theo ngày'!$A$6:$A$107,"&lt;="&amp;DATE(2026,9,30))</f>
        <v>354</v>
      </c>
      <c r="E8" s="16" t="n">
        <f aca="false">SUMIFS('Social — theo ngày'!C6:C107,'Social — theo ngày'!$A$6:$A$107,"&gt;="&amp;DATE(2026,10,1),'Social — theo ngày'!$A$6:$A$107,"&lt;="&amp;DATE(2026,10,31))</f>
        <v>244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ngày'!D6:D107,'Social — theo ngày'!$A$6:$A$107,"&gt;="&amp;DATE(2026,7,1),'Social — theo ngày'!$A$6:$A$107,"&lt;="&amp;DATE(2026,7,31))</f>
        <v>3579</v>
      </c>
      <c r="C9" s="16" t="n">
        <f aca="false">SUMIFS('Social — theo ngày'!D6:D107,'Social — theo ngày'!$A$6:$A$107,"&gt;="&amp;DATE(2026,8,1),'Social — theo ngày'!$A$6:$A$107,"&lt;="&amp;DATE(2026,8,31))</f>
        <v>4978</v>
      </c>
      <c r="D9" s="16" t="n">
        <f aca="false">SUMIFS('Social — theo ngày'!D6:D107,'Social — theo ngày'!$A$6:$A$107,"&gt;="&amp;DATE(2026,9,1),'Social — theo ngày'!$A$6:$A$107,"&lt;="&amp;DATE(2026,9,30))</f>
        <v>4776</v>
      </c>
      <c r="E9" s="16" t="n">
        <f aca="false">SUMIFS('Social — theo ngày'!D6:D107,'Social — theo ngày'!$A$6:$A$107,"&gt;="&amp;DATE(2026,10,1),'Social — theo ngày'!$A$6:$A$107,"&lt;="&amp;DATE(2026,10,31))</f>
        <v>2334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ngày'!E6:E107,'Social — theo ngày'!$A$6:$A$107,"&gt;="&amp;DATE(2026,7,1),'Social — theo ngày'!$A$6:$A$107,"&lt;="&amp;DATE(2026,7,31))</f>
        <v>189</v>
      </c>
      <c r="C10" s="16" t="n">
        <f aca="false">SUMIFS('Social — theo ngày'!E6:E107,'Social — theo ngày'!$A$6:$A$107,"&gt;="&amp;DATE(2026,8,1),'Social — theo ngày'!$A$6:$A$107,"&lt;="&amp;DATE(2026,8,31))</f>
        <v>314</v>
      </c>
      <c r="D10" s="16" t="n">
        <f aca="false">SUMIFS('Social — theo ngày'!E6:E107,'Social — theo ngày'!$A$6:$A$107,"&gt;="&amp;DATE(2026,9,1),'Social — theo ngày'!$A$6:$A$107,"&lt;="&amp;DATE(2026,9,30))</f>
        <v>425</v>
      </c>
      <c r="E10" s="16" t="n">
        <f aca="false">SUMIFS('Social — theo ngày'!E6:E107,'Social — theo ngày'!$A$6:$A$107,"&gt;="&amp;DATE(2026,10,1),'Social — theo ngày'!$A$6:$A$107,"&lt;="&amp;DATE(2026,10,31))</f>
        <v>316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ngày'!F6:F107,'Social — theo ngày'!$A$6:$A$107,"&gt;="&amp;DATE(2026,7,1),'Social — theo ngày'!$A$6:$A$107,"&lt;="&amp;DATE(2026,7,31))</f>
        <v>51</v>
      </c>
      <c r="C11" s="16" t="n">
        <f aca="false">SUMIFS('Social — theo ngày'!F6:F107,'Social — theo ngày'!$A$6:$A$107,"&gt;="&amp;DATE(2026,8,1),'Social — theo ngày'!$A$6:$A$107,"&lt;="&amp;DATE(2026,8,31))</f>
        <v>69</v>
      </c>
      <c r="D11" s="16" t="n">
        <f aca="false">SUMIFS('Social — theo ngày'!F6:F107,'Social — theo ngày'!$A$6:$A$107,"&gt;="&amp;DATE(2026,9,1),'Social — theo ngày'!$A$6:$A$107,"&lt;="&amp;DATE(2026,9,30))</f>
        <v>25</v>
      </c>
      <c r="E11" s="16" t="n">
        <f aca="false">SUMIFS('Social — theo ngày'!F6:F107,'Social — theo ngày'!$A$6:$A$107,"&gt;="&amp;DATE(2026,10,1),'Social — theo ngày'!$A$6:$A$107,"&lt;="&amp;DATE(2026,10,31))</f>
        <v>20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ngày'!G6:G107,'Social — theo ngày'!$A$6:$A$107,"&gt;="&amp;DATE(2026,7,1),'Social — theo ngày'!$A$6:$A$107,"&lt;="&amp;DATE(2026,7,31))</f>
        <v>275</v>
      </c>
      <c r="C12" s="16" t="n">
        <f aca="false">SUMIFS('Social — theo ngày'!G6:G107,'Social — theo ngày'!$A$6:$A$107,"&gt;="&amp;DATE(2026,8,1),'Social — theo ngày'!$A$6:$A$107,"&lt;="&amp;DATE(2026,8,31))</f>
        <v>387</v>
      </c>
      <c r="D12" s="16" t="n">
        <f aca="false">SUMIFS('Social — theo ngày'!G6:G107,'Social — theo ngày'!$A$6:$A$107,"&gt;="&amp;DATE(2026,9,1),'Social — theo ngày'!$A$6:$A$107,"&lt;="&amp;DATE(2026,9,30))</f>
        <v>177</v>
      </c>
      <c r="E12" s="16" t="n">
        <f aca="false">SUMIFS('Social — theo ngày'!G6:G107,'Social — theo ngày'!$A$6:$A$107,"&gt;="&amp;DATE(2026,10,1),'Social — theo ngày'!$A$6:$A$107,"&lt;="&amp;DATE(2026,10,31))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ngày'!H6:H107,'Social — theo ngày'!$A$6:$A$107,"&gt;="&amp;DATE(2026,7,1),'Social — theo ngày'!$A$6:$A$107,"&lt;="&amp;DATE(2026,7,31))</f>
        <v>869</v>
      </c>
      <c r="C13" s="16" t="n">
        <f aca="false">SUMIFS('Social — theo ngày'!H6:H107,'Social — theo ngày'!$A$6:$A$107,"&gt;="&amp;DATE(2026,8,1),'Social — theo ngày'!$A$6:$A$107,"&lt;="&amp;DATE(2026,8,31))</f>
        <v>1161</v>
      </c>
      <c r="D13" s="16" t="n">
        <f aca="false">SUMIFS('Social — theo ngày'!H6:H107,'Social — theo ngày'!$A$6:$A$107,"&gt;="&amp;DATE(2026,9,1),'Social — theo ngày'!$A$6:$A$107,"&lt;="&amp;DATE(2026,9,30))</f>
        <v>2465</v>
      </c>
      <c r="E13" s="16" t="n">
        <f aca="false">SUMIFS('Social — theo ngày'!H6:H107,'Social — theo ngày'!$A$6:$A$107,"&gt;="&amp;DATE(2026,10,1),'Social — theo ngày'!$A$6:$A$107,"&lt;="&amp;DATE(2026,10,31))</f>
        <v>1025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ngày'!B67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ngày'!C67</f>
        <v>176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ngày'!D67</f>
        <v>4074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ngày'!E67</f>
        <v>475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ngày'!F67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ngày'!G67</f>
        <v>36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ngày'!H67</f>
        <v>82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ngày'!I67</f>
        <v>1823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ngày'!J67</f>
        <v>0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ngày'!K67</f>
        <v>0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ngày'!L67</f>
        <v>0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ngày'!M67</f>
        <v>0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ngày'!N67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ngày'!O67</f>
        <v>718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SEO!B67</f>
        <v>15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SEO!C67</f>
        <v>912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SEO!D67</f>
        <v>876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SEO!E67</f>
        <v>37.82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SEO!F67</f>
        <v>9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SEO!G67</f>
        <v>706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SEO!H67</f>
        <v>461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SEO!I67</f>
        <v>25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SEO!J67</f>
        <v>3.5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SEO!K67</f>
        <v>707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SEO!L67</f>
        <v>12.1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SEO!M67</f>
        <v>75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SEO!N67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SEO!O67</f>
        <v>335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Audit!B64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Audit!C64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Audit!D64</f>
        <v>96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Audit!E64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Audit!F64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Audit!G64</f>
        <v>97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Audit!H64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Audit!I64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Audit!J64</f>
        <v>335.3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Audit!K64</f>
        <v>266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Audit!L64</f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2026-10-15T23:28:01Z</dcterms:created>
  <dc:creator>openpyxl</dc:creator>
  <dc:description/>
  <dc:language>en-US</dc:language>
  <cp:lastModifiedBy/>
  <dcterms:modified xsi:type="dcterms:W3CDTF">2026-10-15T23:28:01Z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