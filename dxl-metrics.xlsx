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<sst xmlns="http://schemas.openxmlformats.org/spreadsheetml/2006/main" count="216" uniqueCount="97">
  <si>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</si>
  <si>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2026-10-12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</si>
  <si>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</si>
  <si>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</si>
  <si>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</si>
  <si>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</si>
  <si>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</si>
  <si>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</si>
  <si>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</si>
  <si>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</si>
  <si>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</si>
  <si>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</si>
  <si>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</si>
  <si>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</si>
  <si>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</si>
  <si>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</si>
  <si>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</si>
  <si>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</si>
  <si>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</si>
  <si>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</si>
  <si>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</si>
  <si>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</si>
  <si>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</si>
  <si>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99 dòng × 7 chỉ số · 2026-07-05 → 2026-10-11</t>
  </si>
  <si>
    <t xml:space="preserve">Social — 28 ngày</t>
  </si>
  <si>
    <t xml:space="preserve">59 dòng × 14 chỉ số · 2026-07-23 → 2026-10-13</t>
  </si>
  <si>
    <t xml:space="preserve">SEO</t>
  </si>
  <si>
    <t xml:space="preserve">59 dòng × 14 chỉ số · 2026-06-30 → 2026-10-13</t>
  </si>
  <si>
    <t xml:space="preserve">Audit</t>
  </si>
  <si>
    <t xml:space="preserve">56 dòng × 11 chỉ số · 2026-07-27 → 2026-10-13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</si>
  <si>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</si>
  <si>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99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</si>
  <si>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</si>
  <si>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</si>
  <si>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</si>
  <si>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</si>
  <si>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</si>
  <si>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</si>
  <si>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</si>
  <si>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</si>
  <si>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</si>
  <si>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</si>
  <si>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59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</si>
  <si>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</si>
  <si>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</si>
  <si>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</si>
  <si>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</si>
  <si>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</si>
  <si>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</si>
  <si>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</si>
  <si>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</si>
  <si>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</si>
  <si>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</si>
  <si>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</si>
  <si>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</si>
  <si>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</si>
  <si>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</si>
  <si>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</si>
  <si>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59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</si>
  <si>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</si>
  <si>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</si>
  <si>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</si>
  <si>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</si>
  <si>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</si>
  <si>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</si>
  <si>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</si>
  <si>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</si>
  <si>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</si>
  <si>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</si>
  <si>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</si>
  <si>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</si>
  <si>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</si>
  <si>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</si>
  <si>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</si>
  <si>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56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</si>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</sst>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ngày'!B6:B104,'Social — theo ngày'!$A$6:$A$104,"&gt;="&amp;DATE(2026,7,1),'Social — theo ngày'!$A$6:$A$104,"&lt;="&amp;DATE(2026,7,31))</f>
        <v>125</v>
      </c>
      <c r="C7" s="16" t="n">
        <f aca="false">SUMIFS('Social — theo ngày'!B6:B104,'Social — theo ngày'!$A$6:$A$104,"&gt;="&amp;DATE(2026,8,1),'Social — theo ngày'!$A$6:$A$104,"&lt;="&amp;DATE(2026,8,31))</f>
        <v>195</v>
      </c>
      <c r="D7" s="16" t="n">
        <f aca="false">SUMIFS('Social — theo ngày'!B6:B104,'Social — theo ngày'!$A$6:$A$104,"&gt;="&amp;DATE(2026,9,1),'Social — theo ngày'!$A$6:$A$104,"&lt;="&amp;DATE(2026,9,30))</f>
        <v>160</v>
      </c>
      <c r="E7" s="16" t="n">
        <f aca="false">SUMIFS('Social — theo ngày'!B6:B104,'Social — theo ngày'!$A$6:$A$104,"&gt;="&amp;DATE(2026,10,1),'Social — theo ngày'!$A$6:$A$104,"&lt;="&amp;DATE(2026,10,31))</f>
        <v>92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ngày'!C6:C104,'Social — theo ngày'!$A$6:$A$104,"&gt;="&amp;DATE(2026,7,1),'Social — theo ngày'!$A$6:$A$104,"&lt;="&amp;DATE(2026,7,31))</f>
        <v>106</v>
      </c>
      <c r="C8" s="16" t="n">
        <f aca="false">SUMIFS('Social — theo ngày'!C6:C104,'Social — theo ngày'!$A$6:$A$104,"&gt;="&amp;DATE(2026,8,1),'Social — theo ngày'!$A$6:$A$104,"&lt;="&amp;DATE(2026,8,31))</f>
        <v>147</v>
      </c>
      <c r="D8" s="16" t="n">
        <f aca="false">SUMIFS('Social — theo ngày'!C6:C104,'Social — theo ngày'!$A$6:$A$104,"&gt;="&amp;DATE(2026,9,1),'Social — theo ngày'!$A$6:$A$104,"&lt;="&amp;DATE(2026,9,30))</f>
        <v>354</v>
      </c>
      <c r="E8" s="16" t="n">
        <f aca="false">SUMIFS('Social — theo ngày'!C6:C104,'Social — theo ngày'!$A$6:$A$104,"&gt;="&amp;DATE(2026,10,1),'Social — theo ngày'!$A$6:$A$104,"&lt;="&amp;DATE(2026,10,31))</f>
        <v>217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ngày'!D6:D104,'Social — theo ngày'!$A$6:$A$104,"&gt;="&amp;DATE(2026,7,1),'Social — theo ngày'!$A$6:$A$104,"&lt;="&amp;DATE(2026,7,31))</f>
        <v>3579</v>
      </c>
      <c r="C9" s="16" t="n">
        <f aca="false">SUMIFS('Social — theo ngày'!D6:D104,'Social — theo ngày'!$A$6:$A$104,"&gt;="&amp;DATE(2026,8,1),'Social — theo ngày'!$A$6:$A$104,"&lt;="&amp;DATE(2026,8,31))</f>
        <v>4978</v>
      </c>
      <c r="D9" s="16" t="n">
        <f aca="false">SUMIFS('Social — theo ngày'!D6:D104,'Social — theo ngày'!$A$6:$A$104,"&gt;="&amp;DATE(2026,9,1),'Social — theo ngày'!$A$6:$A$104,"&lt;="&amp;DATE(2026,9,30))</f>
        <v>4776</v>
      </c>
      <c r="E9" s="16" t="n">
        <f aca="false">SUMIFS('Social — theo ngày'!D6:D104,'Social — theo ngày'!$A$6:$A$104,"&gt;="&amp;DATE(2026,10,1),'Social — theo ngày'!$A$6:$A$104,"&lt;="&amp;DATE(2026,10,31))</f>
        <v>1886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ngày'!E6:E104,'Social — theo ngày'!$A$6:$A$104,"&gt;="&amp;DATE(2026,7,1),'Social — theo ngày'!$A$6:$A$104,"&lt;="&amp;DATE(2026,7,31))</f>
        <v>189</v>
      </c>
      <c r="C10" s="16" t="n">
        <f aca="false">SUMIFS('Social — theo ngày'!E6:E104,'Social — theo ngày'!$A$6:$A$104,"&gt;="&amp;DATE(2026,8,1),'Social — theo ngày'!$A$6:$A$104,"&lt;="&amp;DATE(2026,8,31))</f>
        <v>314</v>
      </c>
      <c r="D10" s="16" t="n">
        <f aca="false">SUMIFS('Social — theo ngày'!E6:E104,'Social — theo ngày'!$A$6:$A$104,"&gt;="&amp;DATE(2026,9,1),'Social — theo ngày'!$A$6:$A$104,"&lt;="&amp;DATE(2026,9,30))</f>
        <v>425</v>
      </c>
      <c r="E10" s="16" t="n">
        <f aca="false">SUMIFS('Social — theo ngày'!E6:E104,'Social — theo ngày'!$A$6:$A$104,"&gt;="&amp;DATE(2026,10,1),'Social — theo ngày'!$A$6:$A$104,"&lt;="&amp;DATE(2026,10,31))</f>
        <v>162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ngày'!F6:F104,'Social — theo ngày'!$A$6:$A$104,"&gt;="&amp;DATE(2026,7,1),'Social — theo ngày'!$A$6:$A$104,"&lt;="&amp;DATE(2026,7,31))</f>
        <v>51</v>
      </c>
      <c r="C11" s="16" t="n">
        <f aca="false">SUMIFS('Social — theo ngày'!F6:F104,'Social — theo ngày'!$A$6:$A$104,"&gt;="&amp;DATE(2026,8,1),'Social — theo ngày'!$A$6:$A$104,"&lt;="&amp;DATE(2026,8,31))</f>
        <v>69</v>
      </c>
      <c r="D11" s="16" t="n">
        <f aca="false">SUMIFS('Social — theo ngày'!F6:F104,'Social — theo ngày'!$A$6:$A$104,"&gt;="&amp;DATE(2026,9,1),'Social — theo ngày'!$A$6:$A$104,"&lt;="&amp;DATE(2026,9,30))</f>
        <v>25</v>
      </c>
      <c r="E11" s="16" t="n">
        <f aca="false">SUMIFS('Social — theo ngày'!F6:F104,'Social — theo ngày'!$A$6:$A$104,"&gt;="&amp;DATE(2026,10,1),'Social — theo ngày'!$A$6:$A$104,"&lt;="&amp;DATE(2026,10,31))</f>
        <v>19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ngày'!G6:G104,'Social — theo ngày'!$A$6:$A$104,"&gt;="&amp;DATE(2026,7,1),'Social — theo ngày'!$A$6:$A$104,"&lt;="&amp;DATE(2026,7,31))</f>
        <v>275</v>
      </c>
      <c r="C12" s="16" t="n">
        <f aca="false">SUMIFS('Social — theo ngày'!G6:G104,'Social — theo ngày'!$A$6:$A$104,"&gt;="&amp;DATE(2026,8,1),'Social — theo ngày'!$A$6:$A$104,"&lt;="&amp;DATE(2026,8,31))</f>
        <v>387</v>
      </c>
      <c r="D12" s="16" t="n">
        <f aca="false">SUMIFS('Social — theo ngày'!G6:G104,'Social — theo ngày'!$A$6:$A$104,"&gt;="&amp;DATE(2026,9,1),'Social — theo ngày'!$A$6:$A$104,"&lt;="&amp;DATE(2026,9,30))</f>
        <v>177</v>
      </c>
      <c r="E12" s="16" t="n">
        <f aca="false">SUMIFS('Social — theo ngày'!G6:G104,'Social — theo ngày'!$A$6:$A$104,"&gt;="&amp;DATE(2026,10,1),'Social — theo ngày'!$A$6:$A$104,"&lt;="&amp;DATE(2026,10,31))</f>
        <v>79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ngày'!H6:H104,'Social — theo ngày'!$A$6:$A$104,"&gt;="&amp;DATE(2026,7,1),'Social — theo ngày'!$A$6:$A$104,"&lt;="&amp;DATE(2026,7,31))</f>
        <v>869</v>
      </c>
      <c r="C13" s="16" t="n">
        <f aca="false">SUMIFS('Social — theo ngày'!H6:H104,'Social — theo ngày'!$A$6:$A$104,"&gt;="&amp;DATE(2026,8,1),'Social — theo ngày'!$A$6:$A$104,"&lt;="&amp;DATE(2026,8,31))</f>
        <v>1161</v>
      </c>
      <c r="D13" s="16" t="n">
        <f aca="false">SUMIFS('Social — theo ngày'!H6:H104,'Social — theo ngày'!$A$6:$A$104,"&gt;="&amp;DATE(2026,9,1),'Social — theo ngày'!$A$6:$A$104,"&lt;="&amp;DATE(2026,9,30))</f>
        <v>2465</v>
      </c>
      <c r="E13" s="16" t="n">
        <f aca="false">SUMIFS('Social — theo ngày'!H6:H104,'Social — theo ngày'!$A$6:$A$104,"&gt;="&amp;DATE(2026,10,1),'Social — theo ngày'!$A$6:$A$104,"&lt;="&amp;DATE(2026,10,31))</f>
        <v>830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ngày'!B64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ngày'!C64</f>
        <v>190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ngày'!D64</f>
        <v>4156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ngày'!E64</f>
        <v>418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ngày'!F64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ngày'!G64</f>
        <v>38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ngày'!H64</f>
        <v>119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ngày'!I64</f>
        <v>2218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ngày'!J64</f>
        <v>131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ngày'!K64</f>
        <v>1103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ngày'!L64</f>
        <v>58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ngày'!M64</f>
        <v>41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ngày'!N64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ngày'!O64</f>
        <v>842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SEO!B64</f>
        <v>14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SEO!C64</f>
        <v>917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SEO!D64</f>
        <v>881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SEO!E64</f>
        <v>35.91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SEO!F64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SEO!G64</f>
        <v>660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SEO!H64</f>
        <v>443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SEO!I64</f>
        <v>24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SEO!J64</f>
        <v>3.6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SEO!K64</f>
        <v>673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SEO!L64</f>
        <v>12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SEO!M64</f>
        <v>68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SEO!N64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SEO!O64</f>
        <v>316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Audit!B61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Audit!C61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Audit!D61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Audit!E61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Audit!F61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Audit!G61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Audit!H61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Audit!I61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Audit!J61</f>
        <v>315.9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Audit!K61</f>
        <v>261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Audit!L61</f>
        <v>242620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2026-10-12T23:33:35Z</dcterms:created>
  <dc:creator>openpyxl</dc:creator>
  <dc:description/>
  <dc:language>en-US</dc:language>
  <cp:lastModifiedBy/>
  <dcterms:modified xsi:type="dcterms:W3CDTF">2026-10-12T23:33:35Z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