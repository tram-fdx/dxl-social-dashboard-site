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<sst xmlns="http://schemas.openxmlformats.org/spreadsheetml/2006/main" count="216" uniqueCount="97">
  <si>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</si>
  <si>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2026-10-20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</si>
  <si>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</si>
  <si>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</si>
  <si>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</si>
  <si>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</si>
  <si>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</si>
  <si>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</si>
  <si>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</si>
  <si>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</si>
  <si>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</si>
  <si>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</si>
  <si>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</si>
  <si>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</si>
  <si>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</si>
  <si>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</si>
  <si>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</si>
  <si>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</si>
  <si>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</si>
  <si>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</si>
  <si>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</si>
  <si>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</si>
  <si>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</si>
  <si>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107 dòng × 7 chỉ số · 2026-07-05 → 2026-10-19</t>
  </si>
  <si>
    <t xml:space="preserve">Social — 28 ngày</t>
  </si>
  <si>
    <t xml:space="preserve">65 dòng × 14 chỉ số · 2026-07-23 → 2026-10-21</t>
  </si>
  <si>
    <t xml:space="preserve">SEO</t>
  </si>
  <si>
    <t xml:space="preserve">65 dòng × 14 chỉ số · 2026-06-30 → 2026-10-21</t>
  </si>
  <si>
    <t xml:space="preserve">Audit</t>
  </si>
  <si>
    <t xml:space="preserve">62 dòng × 11 chỉ số · 2026-07-27 → 2026-10-21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</si>
  <si>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</si>
  <si>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107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</si>
  <si>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</si>
  <si>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</si>
  <si>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</si>
  <si>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</si>
  <si>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</si>
  <si>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</si>
  <si>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</si>
  <si>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</si>
  <si>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</si>
  <si>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</si>
  <si>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65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</si>
  <si>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</si>
  <si>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</si>
  <si>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</si>
  <si>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</si>
  <si>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</si>
  <si>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</si>
  <si>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</si>
  <si>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</si>
  <si>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</si>
  <si>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</si>
  <si>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</si>
  <si>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</si>
  <si>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</si>
  <si>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</si>
  <si>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</si>
  <si>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65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</si>
  <si>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</si>
  <si>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</si>
  <si>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</si>
  <si>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</si>
  <si>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</si>
  <si>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</si>
  <si>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</si>
  <si>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</si>
  <si>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</si>
  <si>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</si>
  <si>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</si>
  <si>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</si>
  <si>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</si>
  <si>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</si>
  <si>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</si>
  <si>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62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</si>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</sst>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ngày'!B6:B112,'Social — theo ngày'!$A$6:$A$112,"&gt;="&amp;DATE(2026,7,1),'Social — theo ngày'!$A$6:$A$112,"&lt;="&amp;DATE(2026,7,31))</f>
        <v>125</v>
      </c>
      <c r="C7" s="16" t="n">
        <f aca="false">SUMIFS('Social — theo ngày'!B6:B112,'Social — theo ngày'!$A$6:$A$112,"&gt;="&amp;DATE(2026,8,1),'Social — theo ngày'!$A$6:$A$112,"&lt;="&amp;DATE(2026,8,31))</f>
        <v>195</v>
      </c>
      <c r="D7" s="16" t="n">
        <f aca="false">SUMIFS('Social — theo ngày'!B6:B112,'Social — theo ngày'!$A$6:$A$112,"&gt;="&amp;DATE(2026,9,1),'Social — theo ngày'!$A$6:$A$112,"&lt;="&amp;DATE(2026,9,30))</f>
        <v>160</v>
      </c>
      <c r="E7" s="16" t="n">
        <f aca="false">SUMIFS('Social — theo ngày'!B6:B112,'Social — theo ngày'!$A$6:$A$112,"&gt;="&amp;DATE(2026,10,1),'Social — theo ngày'!$A$6:$A$112,"&lt;="&amp;DATE(2026,10,31))</f>
        <v>116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ngày'!C6:C112,'Social — theo ngày'!$A$6:$A$112,"&gt;="&amp;DATE(2026,7,1),'Social — theo ngày'!$A$6:$A$112,"&lt;="&amp;DATE(2026,7,31))</f>
        <v>106</v>
      </c>
      <c r="C8" s="16" t="n">
        <f aca="false">SUMIFS('Social — theo ngày'!C6:C112,'Social — theo ngày'!$A$6:$A$112,"&gt;="&amp;DATE(2026,8,1),'Social — theo ngày'!$A$6:$A$112,"&lt;="&amp;DATE(2026,8,31))</f>
        <v>147</v>
      </c>
      <c r="D8" s="16" t="n">
        <f aca="false">SUMIFS('Social — theo ngày'!C6:C112,'Social — theo ngày'!$A$6:$A$112,"&gt;="&amp;DATE(2026,9,1),'Social — theo ngày'!$A$6:$A$112,"&lt;="&amp;DATE(2026,9,30))</f>
        <v>354</v>
      </c>
      <c r="E8" s="16" t="n">
        <f aca="false">SUMIFS('Social — theo ngày'!C6:C112,'Social — theo ngày'!$A$6:$A$112,"&gt;="&amp;DATE(2026,10,1),'Social — theo ngày'!$A$6:$A$112,"&lt;="&amp;DATE(2026,10,31))</f>
        <v>328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ngày'!D6:D112,'Social — theo ngày'!$A$6:$A$112,"&gt;="&amp;DATE(2026,7,1),'Social — theo ngày'!$A$6:$A$112,"&lt;="&amp;DATE(2026,7,31))</f>
        <v>3579</v>
      </c>
      <c r="C9" s="16" t="n">
        <f aca="false">SUMIFS('Social — theo ngày'!D6:D112,'Social — theo ngày'!$A$6:$A$112,"&gt;="&amp;DATE(2026,8,1),'Social — theo ngày'!$A$6:$A$112,"&lt;="&amp;DATE(2026,8,31))</f>
        <v>4978</v>
      </c>
      <c r="D9" s="16" t="n">
        <f aca="false">SUMIFS('Social — theo ngày'!D6:D112,'Social — theo ngày'!$A$6:$A$112,"&gt;="&amp;DATE(2026,9,1),'Social — theo ngày'!$A$6:$A$112,"&lt;="&amp;DATE(2026,9,30))</f>
        <v>4776</v>
      </c>
      <c r="E9" s="16" t="n">
        <f aca="false">SUMIFS('Social — theo ngày'!D6:D112,'Social — theo ngày'!$A$6:$A$112,"&gt;="&amp;DATE(2026,10,1),'Social — theo ngày'!$A$6:$A$112,"&lt;="&amp;DATE(2026,10,31))</f>
        <v>2829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ngày'!E6:E112,'Social — theo ngày'!$A$6:$A$112,"&gt;="&amp;DATE(2026,7,1),'Social — theo ngày'!$A$6:$A$112,"&lt;="&amp;DATE(2026,7,31))</f>
        <v>189</v>
      </c>
      <c r="C10" s="16" t="n">
        <f aca="false">SUMIFS('Social — theo ngày'!E6:E112,'Social — theo ngày'!$A$6:$A$112,"&gt;="&amp;DATE(2026,8,1),'Social — theo ngày'!$A$6:$A$112,"&lt;="&amp;DATE(2026,8,31))</f>
        <v>314</v>
      </c>
      <c r="D10" s="16" t="n">
        <f aca="false">SUMIFS('Social — theo ngày'!E6:E112,'Social — theo ngày'!$A$6:$A$112,"&gt;="&amp;DATE(2026,9,1),'Social — theo ngày'!$A$6:$A$112,"&lt;="&amp;DATE(2026,9,30))</f>
        <v>425</v>
      </c>
      <c r="E10" s="16" t="n">
        <f aca="false">SUMIFS('Social — theo ngày'!E6:E112,'Social — theo ngày'!$A$6:$A$112,"&gt;="&amp;DATE(2026,10,1),'Social — theo ngày'!$A$6:$A$112,"&lt;="&amp;DATE(2026,10,31))</f>
        <v>419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ngày'!F6:F112,'Social — theo ngày'!$A$6:$A$112,"&gt;="&amp;DATE(2026,7,1),'Social — theo ngày'!$A$6:$A$112,"&lt;="&amp;DATE(2026,7,31))</f>
        <v>51</v>
      </c>
      <c r="C11" s="16" t="n">
        <f aca="false">SUMIFS('Social — theo ngày'!F6:F112,'Social — theo ngày'!$A$6:$A$112,"&gt;="&amp;DATE(2026,8,1),'Social — theo ngày'!$A$6:$A$112,"&lt;="&amp;DATE(2026,8,31))</f>
        <v>69</v>
      </c>
      <c r="D11" s="16" t="n">
        <f aca="false">SUMIFS('Social — theo ngày'!F6:F112,'Social — theo ngày'!$A$6:$A$112,"&gt;="&amp;DATE(2026,9,1),'Social — theo ngày'!$A$6:$A$112,"&lt;="&amp;DATE(2026,9,30))</f>
        <v>25</v>
      </c>
      <c r="E11" s="16" t="n">
        <f aca="false">SUMIFS('Social — theo ngày'!F6:F112,'Social — theo ngày'!$A$6:$A$112,"&gt;="&amp;DATE(2026,10,1),'Social — theo ngày'!$A$6:$A$112,"&lt;="&amp;DATE(2026,10,31))</f>
        <v>32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ngày'!G6:G112,'Social — theo ngày'!$A$6:$A$112,"&gt;="&amp;DATE(2026,7,1),'Social — theo ngày'!$A$6:$A$112,"&lt;="&amp;DATE(2026,7,31))</f>
        <v>275</v>
      </c>
      <c r="C12" s="16" t="n">
        <f aca="false">SUMIFS('Social — theo ngày'!G6:G112,'Social — theo ngày'!$A$6:$A$112,"&gt;="&amp;DATE(2026,8,1),'Social — theo ngày'!$A$6:$A$112,"&lt;="&amp;DATE(2026,8,31))</f>
        <v>387</v>
      </c>
      <c r="D12" s="16" t="n">
        <f aca="false">SUMIFS('Social — theo ngày'!G6:G112,'Social — theo ngày'!$A$6:$A$112,"&gt;="&amp;DATE(2026,9,1),'Social — theo ngày'!$A$6:$A$112,"&lt;="&amp;DATE(2026,9,30))</f>
        <v>177</v>
      </c>
      <c r="E12" s="16" t="n">
        <f aca="false">SUMIFS('Social — theo ngày'!G6:G112,'Social — theo ngày'!$A$6:$A$112,"&gt;="&amp;DATE(2026,10,1),'Social — theo ngày'!$A$6:$A$112,"&lt;="&amp;DATE(2026,10,31))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ngày'!H6:H112,'Social — theo ngày'!$A$6:$A$112,"&gt;="&amp;DATE(2026,7,1),'Social — theo ngày'!$A$6:$A$112,"&lt;="&amp;DATE(2026,7,31))</f>
        <v>869</v>
      </c>
      <c r="C13" s="16" t="n">
        <f aca="false">SUMIFS('Social — theo ngày'!H6:H112,'Social — theo ngày'!$A$6:$A$112,"&gt;="&amp;DATE(2026,8,1),'Social — theo ngày'!$A$6:$A$112,"&lt;="&amp;DATE(2026,8,31))</f>
        <v>1161</v>
      </c>
      <c r="D13" s="16" t="n">
        <f aca="false">SUMIFS('Social — theo ngày'!H6:H112,'Social — theo ngày'!$A$6:$A$112,"&gt;="&amp;DATE(2026,9,1),'Social — theo ngày'!$A$6:$A$112,"&lt;="&amp;DATE(2026,9,30))</f>
        <v>2465</v>
      </c>
      <c r="E13" s="16" t="n">
        <f aca="false">SUMIFS('Social — theo ngày'!H6:H112,'Social — theo ngày'!$A$6:$A$112,"&gt;="&amp;DATE(2026,10,1),'Social — theo ngày'!$A$6:$A$112,"&lt;="&amp;DATE(2026,10,31))</f>
        <v>1385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ngày'!B70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ngày'!C70</f>
        <v>171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ngày'!D70</f>
        <v>3957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ngày'!E70</f>
        <v>499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ngày'!F70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ngày'!G70</f>
        <v>48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ngày'!H70</f>
        <v>286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ngày'!I70</f>
        <v>1767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ngày'!J70</f>
        <v>139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ngày'!K70</f>
        <v>1263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ngày'!L70</f>
        <v>80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ngày'!M70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ngày'!N70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ngày'!O70</f>
        <v>782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SEO!B70</f>
        <v>19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SEO!C70</f>
        <v>911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SEO!D70</f>
        <v>875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SEO!E70</f>
        <v>40.36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SEO!F70</f>
        <v>9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SEO!G70</f>
        <v>669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SEO!H70</f>
        <v>419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SEO!I70</f>
        <v>28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SEO!J70</f>
        <v>2.8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SEO!K70</f>
        <v>1017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SEO!L70</f>
        <v>19.1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SEO!M70</f>
        <v>110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SEO!N70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SEO!O70</f>
        <v>308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Audit!B67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Audit!C67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Audit!D67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Audit!E67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Audit!F67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Audit!G67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Audit!H67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Audit!I67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Audit!J67</f>
        <v>308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Audit!K67</f>
        <v>253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Audit!L67</f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2026-10-20T23:29:04Z</dcterms:created>
  <dc:creator>openpyxl</dc:creator>
  <dc:description/>
  <dc:language>en-US</dc:language>
  <cp:lastModifiedBy/>
  <dcterms:modified xsi:type="dcterms:W3CDTF">2026-10-20T23:29:04Z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