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<sst xmlns="http://schemas.openxmlformats.org/spreadsheetml/2006/main" count="216" uniqueCount="97">
  <si>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</si>
  <si>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2026-10-26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</si>
  <si>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</si>
  <si>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</si>
  <si>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</si>
  <si>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</si>
  <si>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</si>
  <si>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</si>
  <si>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</si>
  <si>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</si>
  <si>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</si>
  <si>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</si>
  <si>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</si>
  <si>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</si>
  <si>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</si>
  <si>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</si>
  <si>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</si>
  <si>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</si>
  <si>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</si>
  <si>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</si>
  <si>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</si>
  <si>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</si>
  <si>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</si>
  <si>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113 dòng × 7 chỉ số · 2026-07-05 → 2026-10-25</t>
  </si>
  <si>
    <t xml:space="preserve">Social — 28 ngày</t>
  </si>
  <si>
    <t xml:space="preserve">69 dòng × 14 chỉ số · 2026-07-23 → 2026-10-27</t>
  </si>
  <si>
    <t xml:space="preserve">SEO</t>
  </si>
  <si>
    <t xml:space="preserve">69 dòng × 14 chỉ số · 2026-06-30 → 2026-10-27</t>
  </si>
  <si>
    <t xml:space="preserve">Audit</t>
  </si>
  <si>
    <t xml:space="preserve">66 dòng × 11 chỉ số · 2026-07-27 → 2026-10-27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</si>
  <si>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</si>
  <si>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113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</si>
  <si>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</si>
  <si>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</si>
  <si>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</si>
  <si>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</si>
  <si>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</si>
  <si>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</si>
  <si>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</si>
  <si>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</si>
  <si>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</si>
  <si>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</si>
  <si>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69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</si>
  <si>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</si>
  <si>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</si>
  <si>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</si>
  <si>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</si>
  <si>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</si>
  <si>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</si>
  <si>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</si>
  <si>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</si>
  <si>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</si>
  <si>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</si>
  <si>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</si>
  <si>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</si>
  <si>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</si>
  <si>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</si>
  <si>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</si>
  <si>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69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</si>
  <si>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</si>
  <si>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</si>
  <si>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</si>
  <si>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</si>
  <si>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</si>
  <si>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</si>
  <si>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</si>
  <si>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</si>
  <si>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</si>
  <si>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</si>
  <si>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</si>
  <si>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</si>
  <si>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</si>
  <si>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</si>
  <si>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</si>
  <si>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66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</si>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</sst>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  <row r="114" customFormat="false" ht="15" hidden="false" customHeight="false" outlineLevel="0" collapsed="false">
      <c r="A114" s="15" t="n">
        <v>46316</v>
      </c>
      <c r="B114" s="16" t="n">
        <v>5</v>
      </c>
      <c r="C114" s="16" t="n">
        <v>69</v>
      </c>
      <c r="D114" s="16" t="n">
        <v>287</v>
      </c>
      <c r="E114" s="16" t="n">
        <v>45</v>
      </c>
      <c r="F114" s="16" t="n">
        <v>5</v>
      </c>
      <c r="G114" s="16"/>
      <c r="H114" s="16" t="n">
        <v>131</v>
      </c>
    </row>
    <row r="115" customFormat="false" ht="15" hidden="false" customHeight="false" outlineLevel="0" collapsed="false">
      <c r="A115" s="15" t="n">
        <v>46317</v>
      </c>
      <c r="B115" s="16" t="n">
        <v>5</v>
      </c>
      <c r="C115" s="16" t="n">
        <v>9</v>
      </c>
      <c r="D115" s="16" t="n">
        <v>241</v>
      </c>
      <c r="E115" s="16" t="n">
        <v>25</v>
      </c>
      <c r="F115" s="16" t="n">
        <v>8</v>
      </c>
      <c r="G115" s="16"/>
      <c r="H115" s="16" t="n">
        <v>65</v>
      </c>
    </row>
    <row r="116" customFormat="false" ht="15" hidden="false" customHeight="false" outlineLevel="0" collapsed="false">
      <c r="A116" s="15" t="n">
        <v>46318</v>
      </c>
      <c r="B116" s="16" t="n">
        <v>7</v>
      </c>
      <c r="C116" s="16" t="n">
        <v>7</v>
      </c>
      <c r="D116" s="16" t="n">
        <v>160</v>
      </c>
      <c r="E116" s="16" t="n">
        <v>22</v>
      </c>
      <c r="F116" s="16" t="n">
        <v>2</v>
      </c>
      <c r="G116" s="16"/>
      <c r="H116" s="16" t="n">
        <v>30</v>
      </c>
    </row>
    <row r="117" customFormat="false" ht="15" hidden="false" customHeight="false" outlineLevel="0" collapsed="false">
      <c r="A117" s="15" t="n">
        <v>46319</v>
      </c>
      <c r="B117" s="16" t="n">
        <v>2</v>
      </c>
      <c r="C117" s="16" t="n">
        <v>1</v>
      </c>
      <c r="D117" s="16" t="n">
        <v>48</v>
      </c>
      <c r="E117" s="16" t="n">
        <v>10</v>
      </c>
      <c r="F117" s="16" t="n">
        <v>2</v>
      </c>
      <c r="G117" s="16"/>
      <c r="H117" s="16" t="n">
        <v>25</v>
      </c>
    </row>
    <row r="118" customFormat="false" ht="15" hidden="false" customHeight="false" outlineLevel="0" collapsed="false">
      <c r="A118" s="15" t="n">
        <v>46320</v>
      </c>
      <c r="B118" s="16" t="n">
        <v>1</v>
      </c>
      <c r="C118" s="16" t="n">
        <v>13</v>
      </c>
      <c r="D118" s="16" t="n">
        <v>103</v>
      </c>
      <c r="E118" s="16" t="n">
        <v>46</v>
      </c>
      <c r="F118" s="16" t="n">
        <v>0</v>
      </c>
      <c r="G118" s="16"/>
      <c r="H118" s="16" t="n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 customFormat="false" ht="15" hidden="false" customHeight="false" outlineLevel="0" collapsed="false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/>
      <c r="K72" s="16"/>
      <c r="L72" s="16"/>
      <c r="M72" s="16"/>
      <c r="N72" s="16" t="n">
        <v>7</v>
      </c>
      <c r="O72" s="16" t="n">
        <v>860</v>
      </c>
    </row>
    <row r="73" customFormat="false" ht="15" hidden="false" customHeight="false" outlineLevel="0" collapsed="false">
      <c r="A73" s="15" t="n">
        <v>46321</v>
      </c>
      <c r="B73" s="16" t="n">
        <v>116</v>
      </c>
      <c r="C73" s="16" t="n">
        <v>172</v>
      </c>
      <c r="D73" s="16" t="n">
        <v>4270</v>
      </c>
      <c r="E73" s="16" t="n">
        <v>556</v>
      </c>
      <c r="F73" s="16" t="n">
        <v>49</v>
      </c>
      <c r="G73" s="16" t="n">
        <v>68</v>
      </c>
      <c r="H73" s="16" t="n">
        <v>336</v>
      </c>
      <c r="I73" s="16" t="n">
        <v>1933</v>
      </c>
      <c r="J73" s="16" t="n">
        <v>140</v>
      </c>
      <c r="K73" s="16" t="n">
        <v>1275</v>
      </c>
      <c r="L73" s="16" t="n">
        <v>82</v>
      </c>
      <c r="M73" s="16" t="n">
        <v>38</v>
      </c>
      <c r="N73" s="16" t="n">
        <v>7</v>
      </c>
      <c r="O73" s="16" t="n">
        <v>868</v>
      </c>
    </row>
    <row r="74" customFormat="false" ht="15" hidden="false" customHeight="false" outlineLevel="0" collapsed="false">
      <c r="A74" s="15" t="n">
        <v>46322</v>
      </c>
      <c r="B74" s="16" t="n">
        <v>117</v>
      </c>
      <c r="C74" s="16" t="n">
        <v>173</v>
      </c>
      <c r="D74" s="16" t="n">
        <v>4308</v>
      </c>
      <c r="E74" s="16" t="n">
        <v>598</v>
      </c>
      <c r="F74" s="16" t="n">
        <v>49</v>
      </c>
      <c r="G74" s="16" t="n">
        <v>68</v>
      </c>
      <c r="H74" s="16" t="n">
        <v>337</v>
      </c>
      <c r="I74" s="16" t="n">
        <v>1981</v>
      </c>
      <c r="J74" s="16" t="n">
        <v>140</v>
      </c>
      <c r="K74" s="16" t="n">
        <v>1262</v>
      </c>
      <c r="L74" s="16" t="n">
        <v>82</v>
      </c>
      <c r="M74" s="16" t="n">
        <v>38</v>
      </c>
      <c r="N74" s="16" t="n">
        <v>7</v>
      </c>
      <c r="O74" s="16" t="n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 customFormat="false" ht="15" hidden="false" customHeight="false" outlineLevel="0" collapsed="false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  <row r="73" customFormat="false" ht="15" hidden="false" customHeight="false" outlineLevel="0" collapsed="false">
      <c r="A73" s="15" t="n">
        <v>46321</v>
      </c>
      <c r="B73" s="16" t="n">
        <v>26</v>
      </c>
      <c r="C73" s="16" t="n">
        <v>909</v>
      </c>
      <c r="D73" s="16" t="n">
        <v>873</v>
      </c>
      <c r="E73" s="19" t="n">
        <v>39.77</v>
      </c>
      <c r="F73" s="16" t="n">
        <v>8</v>
      </c>
      <c r="G73" s="16" t="n">
        <v>699</v>
      </c>
      <c r="H73" s="16" t="n">
        <v>439</v>
      </c>
      <c r="I73" s="16" t="n">
        <v>24</v>
      </c>
      <c r="J73" s="19" t="n">
        <v>1.7</v>
      </c>
      <c r="K73" s="16" t="n">
        <v>1411</v>
      </c>
      <c r="L73" s="19" t="n">
        <v>20.4</v>
      </c>
      <c r="M73" s="16" t="n">
        <v>131</v>
      </c>
      <c r="N73" s="16" t="n">
        <v>119</v>
      </c>
      <c r="O73" s="19" t="n">
        <v>314.4</v>
      </c>
    </row>
    <row r="74" customFormat="false" ht="15" hidden="false" customHeight="false" outlineLevel="0" collapsed="false">
      <c r="A74" s="15" t="n">
        <v>46322</v>
      </c>
      <c r="B74" s="16" t="n">
        <v>29</v>
      </c>
      <c r="C74" s="16" t="n">
        <v>906</v>
      </c>
      <c r="D74" s="16" t="n">
        <v>870</v>
      </c>
      <c r="E74" s="19" t="n">
        <v>39.04</v>
      </c>
      <c r="F74" s="16" t="n">
        <v>8</v>
      </c>
      <c r="G74" s="16" t="n">
        <v>689</v>
      </c>
      <c r="H74" s="16" t="n">
        <v>436</v>
      </c>
      <c r="I74" s="16" t="n">
        <v>23</v>
      </c>
      <c r="J74" s="19" t="n">
        <v>1.6</v>
      </c>
      <c r="K74" s="16" t="n">
        <v>1424</v>
      </c>
      <c r="L74" s="19" t="n">
        <v>20.4</v>
      </c>
      <c r="M74" s="16" t="n">
        <v>132</v>
      </c>
      <c r="N74" s="16" t="n">
        <v>121</v>
      </c>
      <c r="O74" s="19" t="n">
        <v>325.5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 customFormat="false" ht="15" hidden="false" customHeight="false" outlineLevel="0" collapsed="false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  <row r="70" customFormat="false" ht="15" hidden="false" customHeight="false" outlineLevel="0" collapsed="false">
      <c r="A70" s="15" t="n">
        <v>46321</v>
      </c>
      <c r="B70" s="16" t="n">
        <v>93</v>
      </c>
      <c r="C70" s="16" t="n">
        <v>98</v>
      </c>
      <c r="D70" s="16" t="n">
        <v>97</v>
      </c>
      <c r="E70" s="16" t="n">
        <v>93</v>
      </c>
      <c r="F70" s="16" t="n">
        <v>118</v>
      </c>
      <c r="G70" s="16" t="n">
        <v>98</v>
      </c>
      <c r="H70" s="16" t="n">
        <v>119</v>
      </c>
      <c r="I70" s="16" t="n">
        <v>98</v>
      </c>
      <c r="J70" s="19" t="n">
        <v>314.4</v>
      </c>
      <c r="K70" s="16" t="n">
        <v>249</v>
      </c>
      <c r="L70" s="16" t="n">
        <v>243401</v>
      </c>
    </row>
    <row r="71" customFormat="false" ht="15" hidden="false" customHeight="false" outlineLevel="0" collapsed="false">
      <c r="A71" s="15" t="n">
        <v>46322</v>
      </c>
      <c r="B71" s="16" t="n">
        <v>94</v>
      </c>
      <c r="C71" s="16" t="n">
        <v>98</v>
      </c>
      <c r="D71" s="16" t="n">
        <v>97</v>
      </c>
      <c r="E71" s="16" t="n">
        <v>93</v>
      </c>
      <c r="F71" s="16" t="n">
        <v>120</v>
      </c>
      <c r="G71" s="16" t="n">
        <v>98</v>
      </c>
      <c r="H71" s="16" t="n">
        <v>121</v>
      </c>
      <c r="I71" s="16" t="n">
        <v>98</v>
      </c>
      <c r="J71" s="19" t="n">
        <v>325.5</v>
      </c>
      <c r="K71" s="19" t="n">
        <v>262.5</v>
      </c>
      <c r="L71" s="16" t="n">
        <v>247309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ngày'!B6:B118,'Social — theo ngày'!$A$6:$A$118,"&gt;="&amp;DATE(2026,7,1),'Social — theo ngày'!$A$6:$A$118,"&lt;="&amp;DATE(2026,7,31))</f>
        <v>125</v>
      </c>
      <c r="C7" s="16" t="n">
        <f aca="false">SUMIFS('Social — theo ngày'!B6:B118,'Social — theo ngày'!$A$6:$A$118,"&gt;="&amp;DATE(2026,8,1),'Social — theo ngày'!$A$6:$A$118,"&lt;="&amp;DATE(2026,8,31))</f>
        <v>195</v>
      </c>
      <c r="D7" s="16" t="n">
        <f aca="false">SUMIFS('Social — theo ngày'!B6:B118,'Social — theo ngày'!$A$6:$A$118,"&gt;="&amp;DATE(2026,9,1),'Social — theo ngày'!$A$6:$A$118,"&lt;="&amp;DATE(2026,9,30))</f>
        <v>160</v>
      </c>
      <c r="E7" s="16" t="n">
        <f aca="false">SUMIFS('Social — theo ngày'!B6:B118,'Social — theo ngày'!$A$6:$A$118,"&gt;="&amp;DATE(2026,10,1),'Social — theo ngày'!$A$6:$A$118,"&lt;="&amp;DATE(2026,10,31))</f>
        <v>148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ngày'!C6:C118,'Social — theo ngày'!$A$6:$A$118,"&gt;="&amp;DATE(2026,7,1),'Social — theo ngày'!$A$6:$A$118,"&lt;="&amp;DATE(2026,7,31))</f>
        <v>106</v>
      </c>
      <c r="C8" s="16" t="n">
        <f aca="false">SUMIFS('Social — theo ngày'!C6:C118,'Social — theo ngày'!$A$6:$A$118,"&gt;="&amp;DATE(2026,8,1),'Social — theo ngày'!$A$6:$A$118,"&lt;="&amp;DATE(2026,8,31))</f>
        <v>147</v>
      </c>
      <c r="D8" s="16" t="n">
        <f aca="false">SUMIFS('Social — theo ngày'!C6:C118,'Social — theo ngày'!$A$6:$A$118,"&gt;="&amp;DATE(2026,9,1),'Social — theo ngày'!$A$6:$A$118,"&lt;="&amp;DATE(2026,9,30))</f>
        <v>354</v>
      </c>
      <c r="E8" s="16" t="n">
        <f aca="false">SUMIFS('Social — theo ngày'!C6:C118,'Social — theo ngày'!$A$6:$A$118,"&gt;="&amp;DATE(2026,10,1),'Social — theo ngày'!$A$6:$A$118,"&lt;="&amp;DATE(2026,10,31))</f>
        <v>432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ngày'!D6:D118,'Social — theo ngày'!$A$6:$A$118,"&gt;="&amp;DATE(2026,7,1),'Social — theo ngày'!$A$6:$A$118,"&lt;="&amp;DATE(2026,7,31))</f>
        <v>3579</v>
      </c>
      <c r="C9" s="16" t="n">
        <f aca="false">SUMIFS('Social — theo ngày'!D6:D118,'Social — theo ngày'!$A$6:$A$118,"&gt;="&amp;DATE(2026,8,1),'Social — theo ngày'!$A$6:$A$118,"&lt;="&amp;DATE(2026,8,31))</f>
        <v>4978</v>
      </c>
      <c r="D9" s="16" t="n">
        <f aca="false">SUMIFS('Social — theo ngày'!D6:D118,'Social — theo ngày'!$A$6:$A$118,"&gt;="&amp;DATE(2026,9,1),'Social — theo ngày'!$A$6:$A$118,"&lt;="&amp;DATE(2026,9,30))</f>
        <v>4776</v>
      </c>
      <c r="E9" s="16" t="n">
        <f aca="false">SUMIFS('Social — theo ngày'!D6:D118,'Social — theo ngày'!$A$6:$A$118,"&gt;="&amp;DATE(2026,10,1),'Social — theo ngày'!$A$6:$A$118,"&lt;="&amp;DATE(2026,10,31))</f>
        <v>3871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ngày'!E6:E118,'Social — theo ngày'!$A$6:$A$118,"&gt;="&amp;DATE(2026,7,1),'Social — theo ngày'!$A$6:$A$118,"&lt;="&amp;DATE(2026,7,31))</f>
        <v>189</v>
      </c>
      <c r="C10" s="16" t="n">
        <f aca="false">SUMIFS('Social — theo ngày'!E6:E118,'Social — theo ngày'!$A$6:$A$118,"&gt;="&amp;DATE(2026,8,1),'Social — theo ngày'!$A$6:$A$118,"&lt;="&amp;DATE(2026,8,31))</f>
        <v>314</v>
      </c>
      <c r="D10" s="16" t="n">
        <f aca="false">SUMIFS('Social — theo ngày'!E6:E118,'Social — theo ngày'!$A$6:$A$118,"&gt;="&amp;DATE(2026,9,1),'Social — theo ngày'!$A$6:$A$118,"&lt;="&amp;DATE(2026,9,30))</f>
        <v>425</v>
      </c>
      <c r="E10" s="16" t="n">
        <f aca="false">SUMIFS('Social — theo ngày'!E6:E118,'Social — theo ngày'!$A$6:$A$118,"&gt;="&amp;DATE(2026,10,1),'Social — theo ngày'!$A$6:$A$118,"&lt;="&amp;DATE(2026,10,31))</f>
        <v>589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ngày'!F6:F118,'Social — theo ngày'!$A$6:$A$118,"&gt;="&amp;DATE(2026,7,1),'Social — theo ngày'!$A$6:$A$118,"&lt;="&amp;DATE(2026,7,31))</f>
        <v>51</v>
      </c>
      <c r="C11" s="16" t="n">
        <f aca="false">SUMIFS('Social — theo ngày'!F6:F118,'Social — theo ngày'!$A$6:$A$118,"&gt;="&amp;DATE(2026,8,1),'Social — theo ngày'!$A$6:$A$118,"&lt;="&amp;DATE(2026,8,31))</f>
        <v>69</v>
      </c>
      <c r="D11" s="16" t="n">
        <f aca="false">SUMIFS('Social — theo ngày'!F6:F118,'Social — theo ngày'!$A$6:$A$118,"&gt;="&amp;DATE(2026,9,1),'Social — theo ngày'!$A$6:$A$118,"&lt;="&amp;DATE(2026,9,30))</f>
        <v>25</v>
      </c>
      <c r="E11" s="16" t="n">
        <f aca="false">SUMIFS('Social — theo ngày'!F6:F118,'Social — theo ngày'!$A$6:$A$118,"&gt;="&amp;DATE(2026,10,1),'Social — theo ngày'!$A$6:$A$118,"&lt;="&amp;DATE(2026,10,31))</f>
        <v>60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ngày'!G6:G118,'Social — theo ngày'!$A$6:$A$118,"&gt;="&amp;DATE(2026,7,1),'Social — theo ngày'!$A$6:$A$118,"&lt;="&amp;DATE(2026,7,31))</f>
        <v>275</v>
      </c>
      <c r="C12" s="16" t="n">
        <f aca="false">SUMIFS('Social — theo ngày'!G6:G118,'Social — theo ngày'!$A$6:$A$118,"&gt;="&amp;DATE(2026,8,1),'Social — theo ngày'!$A$6:$A$118,"&lt;="&amp;DATE(2026,8,31))</f>
        <v>387</v>
      </c>
      <c r="D12" s="16" t="n">
        <f aca="false">SUMIFS('Social — theo ngày'!G6:G118,'Social — theo ngày'!$A$6:$A$118,"&gt;="&amp;DATE(2026,9,1),'Social — theo ngày'!$A$6:$A$118,"&lt;="&amp;DATE(2026,9,30))</f>
        <v>177</v>
      </c>
      <c r="E12" s="16" t="n">
        <f aca="false">SUMIFS('Social — theo ngày'!G6:G118,'Social — theo ngày'!$A$6:$A$118,"&gt;="&amp;DATE(2026,10,1),'Social — theo ngày'!$A$6:$A$118,"&lt;="&amp;DATE(2026,10,31))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ngày'!H6:H118,'Social — theo ngày'!$A$6:$A$118,"&gt;="&amp;DATE(2026,7,1),'Social — theo ngày'!$A$6:$A$118,"&lt;="&amp;DATE(2026,7,31))</f>
        <v>869</v>
      </c>
      <c r="C13" s="16" t="n">
        <f aca="false">SUMIFS('Social — theo ngày'!H6:H118,'Social — theo ngày'!$A$6:$A$118,"&gt;="&amp;DATE(2026,8,1),'Social — theo ngày'!$A$6:$A$118,"&lt;="&amp;DATE(2026,8,31))</f>
        <v>1161</v>
      </c>
      <c r="D13" s="16" t="n">
        <f aca="false">SUMIFS('Social — theo ngày'!H6:H118,'Social — theo ngày'!$A$6:$A$118,"&gt;="&amp;DATE(2026,9,1),'Social — theo ngày'!$A$6:$A$118,"&lt;="&amp;DATE(2026,9,30))</f>
        <v>2465</v>
      </c>
      <c r="E13" s="16" t="n">
        <f aca="false">SUMIFS('Social — theo ngày'!H6:H118,'Social — theo ngày'!$A$6:$A$118,"&gt;="&amp;DATE(2026,10,1),'Social — theo ngày'!$A$6:$A$118,"&lt;="&amp;DATE(2026,10,31))</f>
        <v>1744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ngày'!B74</f>
        <v>117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ngày'!C74</f>
        <v>173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ngày'!D74</f>
        <v>4308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ngày'!E74</f>
        <v>598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ngày'!F74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ngày'!G74</f>
        <v>68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ngày'!H74</f>
        <v>337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ngày'!I74</f>
        <v>1981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ngày'!J74</f>
        <v>140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ngày'!K74</f>
        <v>1262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ngày'!L74</f>
        <v>82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ngày'!M74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ngày'!N74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ngày'!O74</f>
        <v>868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SEO!B74</f>
        <v>29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SEO!C74</f>
        <v>906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SEO!D74</f>
        <v>870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SEO!E74</f>
        <v>39.04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SEO!F74</f>
        <v>8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SEO!G74</f>
        <v>689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SEO!H74</f>
        <v>436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SEO!I74</f>
        <v>23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SEO!J74</f>
        <v>1.6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SEO!K74</f>
        <v>1424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SEO!L74</f>
        <v>20.4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SEO!M74</f>
        <v>132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SEO!N74</f>
        <v>121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SEO!O74</f>
        <v>325.5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Audit!B71</f>
        <v>94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Audit!C71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Audit!D71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Audit!E71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Audit!F71</f>
        <v>120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Audit!G71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Audit!H71</f>
        <v>121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Audit!I71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Audit!J71</f>
        <v>325.5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Audit!K71</f>
        <v>262.5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Audit!L71</f>
        <v>247309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2026-10-26T23:27:16Z</dcterms:created>
  <dc:creator>openpyxl</dc:creator>
  <dc:description/>
  <dc:language>en-US</dc:language>
  <cp:lastModifiedBy/>
  <dcterms:modified xsi:type="dcterms:W3CDTF">2026-10-26T23:27:16Z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