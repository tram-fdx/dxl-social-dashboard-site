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<sst xmlns="http://schemas.openxmlformats.org/spreadsheetml/2006/main" count="216" uniqueCount="97">
  <si>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</si>
  <si>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2026-10-11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</si>
  <si>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</si>
  <si>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</si>
  <si>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</si>
  <si>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</si>
  <si>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</si>
  <si>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</si>
  <si>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</si>
  <si>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</si>
  <si>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</si>
  <si>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</si>
  <si>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</si>
  <si>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</si>
  <si>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</si>
  <si>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</si>
  <si>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</si>
  <si>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</si>
  <si>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</si>
  <si>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</si>
  <si>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</si>
  <si>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</si>
  <si>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</si>
  <si>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98 dòng × 7 chỉ số · 2026-07-05 → 2026-10-10</t>
  </si>
  <si>
    <t xml:space="preserve">Social — 28 ngày</t>
  </si>
  <si>
    <t xml:space="preserve">58 dòng × 14 chỉ số · 2026-07-23 → 2026-10-12</t>
  </si>
  <si>
    <t xml:space="preserve">SEO</t>
  </si>
  <si>
    <t xml:space="preserve">58 dòng × 14 chỉ số · 2026-06-30 → 2026-10-12</t>
  </si>
  <si>
    <t xml:space="preserve">Audit</t>
  </si>
  <si>
    <t xml:space="preserve">55 dòng × 11 chỉ số · 2026-07-27 → 2026-10-12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</si>
  <si>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</si>
  <si>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98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</si>
  <si>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</si>
  <si>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</si>
  <si>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</si>
  <si>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</si>
  <si>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</si>
  <si>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</si>
  <si>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</si>
  <si>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</si>
  <si>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</si>
  <si>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</si>
  <si>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58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</si>
  <si>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</si>
  <si>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</si>
  <si>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</si>
  <si>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</si>
  <si>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</si>
  <si>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</si>
  <si>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</si>
  <si>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</si>
  <si>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</si>
  <si>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</si>
  <si>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</si>
  <si>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</si>
  <si>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</si>
  <si>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</si>
  <si>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</si>
  <si>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58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</si>
  <si>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</si>
  <si>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</si>
  <si>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</si>
  <si>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</si>
  <si>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</si>
  <si>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</si>
  <si>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</si>
  <si>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</si>
  <si>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</si>
  <si>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</si>
  <si>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</si>
  <si>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</si>
  <si>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</si>
  <si>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</si>
  <si>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</si>
  <si>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55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</si>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</sst>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ngày'!B6:B103,'Social — theo ngày'!$A$6:$A$103,"&gt;="&amp;DATE(2026,7,1),'Social — theo ngày'!$A$6:$A$103,"&lt;="&amp;DATE(2026,7,31))</f>
        <v>125</v>
      </c>
      <c r="C7" s="16" t="n">
        <f aca="false">SUMIFS('Social — theo ngày'!B6:B103,'Social — theo ngày'!$A$6:$A$103,"&gt;="&amp;DATE(2026,8,1),'Social — theo ngày'!$A$6:$A$103,"&lt;="&amp;DATE(2026,8,31))</f>
        <v>195</v>
      </c>
      <c r="D7" s="16" t="n">
        <f aca="false">SUMIFS('Social — theo ngày'!B6:B103,'Social — theo ngày'!$A$6:$A$103,"&gt;="&amp;DATE(2026,9,1),'Social — theo ngày'!$A$6:$A$103,"&lt;="&amp;DATE(2026,9,30))</f>
        <v>160</v>
      </c>
      <c r="E7" s="16" t="n">
        <f aca="false">SUMIFS('Social — theo ngày'!B6:B103,'Social — theo ngày'!$A$6:$A$103,"&gt;="&amp;DATE(2026,10,1),'Social — theo ngày'!$A$6:$A$103,"&lt;="&amp;DATE(2026,10,31))</f>
        <v>92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ngày'!C6:C103,'Social — theo ngày'!$A$6:$A$103,"&gt;="&amp;DATE(2026,7,1),'Social — theo ngày'!$A$6:$A$103,"&lt;="&amp;DATE(2026,7,31))</f>
        <v>106</v>
      </c>
      <c r="C8" s="16" t="n">
        <f aca="false">SUMIFS('Social — theo ngày'!C6:C103,'Social — theo ngày'!$A$6:$A$103,"&gt;="&amp;DATE(2026,8,1),'Social — theo ngày'!$A$6:$A$103,"&lt;="&amp;DATE(2026,8,31))</f>
        <v>147</v>
      </c>
      <c r="D8" s="16" t="n">
        <f aca="false">SUMIFS('Social — theo ngày'!C6:C103,'Social — theo ngày'!$A$6:$A$103,"&gt;="&amp;DATE(2026,9,1),'Social — theo ngày'!$A$6:$A$103,"&lt;="&amp;DATE(2026,9,30))</f>
        <v>354</v>
      </c>
      <c r="E8" s="16" t="n">
        <f aca="false">SUMIFS('Social — theo ngày'!C6:C103,'Social — theo ngày'!$A$6:$A$103,"&gt;="&amp;DATE(2026,10,1),'Social — theo ngày'!$A$6:$A$103,"&lt;="&amp;DATE(2026,10,31))</f>
        <v>216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ngày'!D6:D103,'Social — theo ngày'!$A$6:$A$103,"&gt;="&amp;DATE(2026,7,1),'Social — theo ngày'!$A$6:$A$103,"&lt;="&amp;DATE(2026,7,31))</f>
        <v>3579</v>
      </c>
      <c r="C9" s="16" t="n">
        <f aca="false">SUMIFS('Social — theo ngày'!D6:D103,'Social — theo ngày'!$A$6:$A$103,"&gt;="&amp;DATE(2026,8,1),'Social — theo ngày'!$A$6:$A$103,"&lt;="&amp;DATE(2026,8,31))</f>
        <v>4978</v>
      </c>
      <c r="D9" s="16" t="n">
        <f aca="false">SUMIFS('Social — theo ngày'!D6:D103,'Social — theo ngày'!$A$6:$A$103,"&gt;="&amp;DATE(2026,9,1),'Social — theo ngày'!$A$6:$A$103,"&lt;="&amp;DATE(2026,9,30))</f>
        <v>4776</v>
      </c>
      <c r="E9" s="16" t="n">
        <f aca="false">SUMIFS('Social — theo ngày'!D6:D103,'Social — theo ngày'!$A$6:$A$103,"&gt;="&amp;DATE(2026,10,1),'Social — theo ngày'!$A$6:$A$103,"&lt;="&amp;DATE(2026,10,31))</f>
        <v>1852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ngày'!E6:E103,'Social — theo ngày'!$A$6:$A$103,"&gt;="&amp;DATE(2026,7,1),'Social — theo ngày'!$A$6:$A$103,"&lt;="&amp;DATE(2026,7,31))</f>
        <v>189</v>
      </c>
      <c r="C10" s="16" t="n">
        <f aca="false">SUMIFS('Social — theo ngày'!E6:E103,'Social — theo ngày'!$A$6:$A$103,"&gt;="&amp;DATE(2026,8,1),'Social — theo ngày'!$A$6:$A$103,"&lt;="&amp;DATE(2026,8,31))</f>
        <v>314</v>
      </c>
      <c r="D10" s="16" t="n">
        <f aca="false">SUMIFS('Social — theo ngày'!E6:E103,'Social — theo ngày'!$A$6:$A$103,"&gt;="&amp;DATE(2026,9,1),'Social — theo ngày'!$A$6:$A$103,"&lt;="&amp;DATE(2026,9,30))</f>
        <v>425</v>
      </c>
      <c r="E10" s="16" t="n">
        <f aca="false">SUMIFS('Social — theo ngày'!E6:E103,'Social — theo ngày'!$A$6:$A$103,"&gt;="&amp;DATE(2026,10,1),'Social — theo ngày'!$A$6:$A$103,"&lt;="&amp;DATE(2026,10,31))</f>
        <v>159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ngày'!F6:F103,'Social — theo ngày'!$A$6:$A$103,"&gt;="&amp;DATE(2026,7,1),'Social — theo ngày'!$A$6:$A$103,"&lt;="&amp;DATE(2026,7,31))</f>
        <v>51</v>
      </c>
      <c r="C11" s="16" t="n">
        <f aca="false">SUMIFS('Social — theo ngày'!F6:F103,'Social — theo ngày'!$A$6:$A$103,"&gt;="&amp;DATE(2026,8,1),'Social — theo ngày'!$A$6:$A$103,"&lt;="&amp;DATE(2026,8,31))</f>
        <v>69</v>
      </c>
      <c r="D11" s="16" t="n">
        <f aca="false">SUMIFS('Social — theo ngày'!F6:F103,'Social — theo ngày'!$A$6:$A$103,"&gt;="&amp;DATE(2026,9,1),'Social — theo ngày'!$A$6:$A$103,"&lt;="&amp;DATE(2026,9,30))</f>
        <v>25</v>
      </c>
      <c r="E11" s="16" t="n">
        <f aca="false">SUMIFS('Social — theo ngày'!F6:F103,'Social — theo ngày'!$A$6:$A$103,"&gt;="&amp;DATE(2026,10,1),'Social — theo ngày'!$A$6:$A$103,"&lt;="&amp;DATE(2026,10,31))</f>
        <v>19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ngày'!G6:G103,'Social — theo ngày'!$A$6:$A$103,"&gt;="&amp;DATE(2026,7,1),'Social — theo ngày'!$A$6:$A$103,"&lt;="&amp;DATE(2026,7,31))</f>
        <v>275</v>
      </c>
      <c r="C12" s="16" t="n">
        <f aca="false">SUMIFS('Social — theo ngày'!G6:G103,'Social — theo ngày'!$A$6:$A$103,"&gt;="&amp;DATE(2026,8,1),'Social — theo ngày'!$A$6:$A$103,"&lt;="&amp;DATE(2026,8,31))</f>
        <v>387</v>
      </c>
      <c r="D12" s="16" t="n">
        <f aca="false">SUMIFS('Social — theo ngày'!G6:G103,'Social — theo ngày'!$A$6:$A$103,"&gt;="&amp;DATE(2026,9,1),'Social — theo ngày'!$A$6:$A$103,"&lt;="&amp;DATE(2026,9,30))</f>
        <v>177</v>
      </c>
      <c r="E12" s="16" t="n">
        <f aca="false">SUMIFS('Social — theo ngày'!G6:G103,'Social — theo ngày'!$A$6:$A$103,"&gt;="&amp;DATE(2026,10,1),'Social — theo ngày'!$A$6:$A$103,"&lt;="&amp;DATE(2026,10,31))</f>
        <v>77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ngày'!H6:H103,'Social — theo ngày'!$A$6:$A$103,"&gt;="&amp;DATE(2026,7,1),'Social — theo ngày'!$A$6:$A$103,"&lt;="&amp;DATE(2026,7,31))</f>
        <v>869</v>
      </c>
      <c r="C13" s="16" t="n">
        <f aca="false">SUMIFS('Social — theo ngày'!H6:H103,'Social — theo ngày'!$A$6:$A$103,"&gt;="&amp;DATE(2026,8,1),'Social — theo ngày'!$A$6:$A$103,"&lt;="&amp;DATE(2026,8,31))</f>
        <v>1161</v>
      </c>
      <c r="D13" s="16" t="n">
        <f aca="false">SUMIFS('Social — theo ngày'!H6:H103,'Social — theo ngày'!$A$6:$A$103,"&gt;="&amp;DATE(2026,9,1),'Social — theo ngày'!$A$6:$A$103,"&lt;="&amp;DATE(2026,9,30))</f>
        <v>2465</v>
      </c>
      <c r="E13" s="16" t="n">
        <f aca="false">SUMIFS('Social — theo ngày'!H6:H103,'Social — theo ngày'!$A$6:$A$103,"&gt;="&amp;DATE(2026,10,1),'Social — theo ngày'!$A$6:$A$103,"&lt;="&amp;DATE(2026,10,31))</f>
        <v>821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ngày'!B63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ngày'!C63</f>
        <v>190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ngày'!D63</f>
        <v>4238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ngày'!E63</f>
        <v>431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ngày'!F63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ngày'!G63</f>
        <v>38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ngày'!H63</f>
        <v>119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ngày'!I63</f>
        <v>2250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ngày'!J63</f>
        <v>128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ngày'!K63</f>
        <v>1404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ngày'!L63</f>
        <v>59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ngày'!M63</f>
        <v>44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ngày'!N63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ngày'!O63</f>
        <v>846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SEO!B63</f>
        <v>13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SEO!C63</f>
        <v>917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SEO!D63</f>
        <v>881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SEO!E63</f>
        <v>34.78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SEO!F63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SEO!G63</f>
        <v>644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SEO!H63</f>
        <v>437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SEO!I63</f>
        <v>22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SEO!J63</f>
        <v>3.3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SEO!K63</f>
        <v>673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SEO!L63</f>
        <v>12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SEO!M63</f>
        <v>69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SEO!N63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SEO!O63</f>
        <v>313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Audit!B60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Audit!C60</f>
        <v>99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Audit!D60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Audit!E60</f>
        <v>94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Audit!F60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Audit!G60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Audit!H60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Audit!I60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Audit!J60</f>
        <v>313.2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Audit!K60</f>
        <v>269.5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Audit!L60</f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2026-10-11T23:27:45Z</dcterms:created>
  <dc:creator>openpyxl</dc:creator>
  <dc:description/>
  <dc:language>en-US</dc:language>
  <cp:lastModifiedBy/>
  <dcterms:modified xsi:type="dcterms:W3CDTF">2026-10-11T23:27:45Z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