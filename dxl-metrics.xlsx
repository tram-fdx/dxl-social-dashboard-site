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Đọc trước" sheetId="1" state="visible" r:id="rId1"/>
    <sheet xmlns:r="http://schemas.openxmlformats.org/officeDocument/2006/relationships" name="Social — theo ngày" sheetId="2" state="visible" r:id="rId2"/>
    <sheet xmlns:r="http://schemas.openxmlformats.org/officeDocument/2006/relationships" name="Social — 28 ngày" sheetId="3" state="visible" r:id="rId3"/>
    <sheet xmlns:r="http://schemas.openxmlformats.org/officeDocument/2006/relationships" name="SEO" sheetId="4" state="visible" r:id="rId4"/>
    <sheet xmlns:r="http://schemas.openxmlformats.org/officeDocument/2006/relationships" name="Audit" sheetId="5" state="visible" r:id="rId5"/>
    <sheet xmlns:r="http://schemas.openxmlformats.org/officeDocument/2006/relationships" name="Tổng hợp thá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.##"/>
  </numFmts>
  <fonts count="8">
    <font>
      <name val="Calibri"/>
      <family val="2"/>
      <color theme="1"/>
      <sz val="11"/>
      <scheme val="minor"/>
    </font>
    <font>
      <name val="Arial"/>
      <b val="1"/>
      <color rgb="0012161C"/>
      <sz val="14"/>
    </font>
    <font>
      <name val="Arial"/>
      <i val="1"/>
      <color rgb="006B727C"/>
      <sz val="9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4A5260"/>
      <sz val="8"/>
    </font>
  </fonts>
  <fills count="6">
    <fill>
      <patternFill/>
    </fill>
    <fill>
      <patternFill patternType="gray125"/>
    </fill>
    <fill>
      <patternFill patternType="solid">
        <fgColor rgb="00E6F5ED"/>
      </patternFill>
    </fill>
    <fill>
      <patternFill patternType="solid">
        <fgColor rgb="00FDF1E3"/>
      </patternFill>
    </fill>
    <fill>
      <patternFill patternType="solid">
        <fgColor rgb="00EEF1F5"/>
      </patternFill>
    </fill>
    <fill>
      <patternFill patternType="solid">
        <fgColor rgb="002C3440"/>
      </patternFill>
    </fill>
  </fills>
  <borders count="2">
    <border>
      <left/>
      <right/>
      <top/>
      <bottom/>
      <diagonal/>
    </border>
    <border>
      <bottom style="thin">
        <color rgb="00E6E9EE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3" fillId="2" borderId="0" applyAlignment="1" pivotButton="0" quotePrefix="0" xfId="0">
      <alignment vertical="top"/>
    </xf>
    <xf numFmtId="0" fontId="4" fillId="2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/>
    </xf>
    <xf numFmtId="0" fontId="4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/>
    </xf>
    <xf numFmtId="0" fontId="4" fillId="4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/>
    </xf>
    <xf numFmtId="0" fontId="6" fillId="5" borderId="0" pivotButton="0" quotePrefix="0" xfId="0"/>
    <xf numFmtId="0" fontId="6" fillId="5" borderId="0" applyAlignment="1" pivotButton="0" quotePrefix="0" xfId="0">
      <alignment vertical="bottom" wrapText="1"/>
    </xf>
    <xf numFmtId="164" fontId="4" fillId="0" borderId="1" pivotButton="0" quotePrefix="0" xfId="0"/>
    <xf numFmtId="3" fontId="4" fillId="0" borderId="1" pivotButton="0" quotePrefix="0" xfId="0"/>
    <xf numFmtId="0" fontId="7" fillId="4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2" fontId="4" fillId="0" borderId="1" pivotButton="0" quotePrefix="0" xfId="0"/>
    <xf numFmtId="0" fontId="5" fillId="2" borderId="0" pivotButton="0" quotePrefix="0" xfId="0"/>
    <xf numFmtId="0" fontId="6" fillId="5" borderId="0" applyAlignment="1" pivotButton="0" quotePrefix="0" xfId="0">
      <alignment horizontal="center"/>
    </xf>
    <xf numFmtId="0" fontId="4" fillId="0" borderId="0" pivotButton="0" quotePrefix="0" xfId="0"/>
    <xf numFmtId="0" fontId="5" fillId="3" borderId="0" pivotButton="0" quotePrefix="0" xfId="0"/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3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4" customWidth="1" min="3" max="3"/>
  </cols>
  <sheetData>
    <row r="2">
      <c r="B2" s="1" t="inlineStr">
        <is>
          <t>DX Living — dữ liệu báo cáo theo ngày</t>
        </is>
      </c>
    </row>
    <row r="3">
      <c r="B3" s="2" t="inlineStr">
        <is>
          <t>Xuất ngày 2026-10-22 · nguồn: data/rollup.json của ba repo báo cáo</t>
        </is>
      </c>
    </row>
    <row r="5">
      <c r="B5" s="3" t="inlineStr">
        <is>
          <t>File này là gì</t>
        </is>
      </c>
      <c r="C5" s="4" t="inlineStr">
        <is>
          <t>Bản xuất phẳng của dữ liệu đã lưu trong ba báo cáo DX Living, để đọc bằng tay và dựng báo cáo tháng. KHÔNG phải nguồn sự thật.</t>
        </is>
      </c>
    </row>
    <row r="6">
      <c r="B6" s="3" t="inlineStr">
        <is>
          <t>Nguồn sự thật</t>
        </is>
      </c>
      <c r="C6" s="4" t="inlineStr">
        <is>
          <t>data/YYYY-MM-DD.json trong mỗi repo — bất biến, mỗi ngày một file, không bao giờ sửa. File Excel này và dashboard cùng đọc từ data/rollup.json, nên không bao giờ lệch nhau.</t>
        </is>
      </c>
    </row>
    <row r="7">
      <c r="B7" s="3" t="inlineStr">
        <is>
          <t>Sửa file này thì sao</t>
        </is>
      </c>
      <c r="C7" s="4" t="inlineStr">
        <is>
          <t>Không ảnh hưởng gì tới báo cáo. Lần xuất sau sẽ ghi đè.</t>
        </is>
      </c>
    </row>
    <row r="9">
      <c r="B9" s="5" t="inlineStr">
        <is>
          <t>BA LOẠI CHỈ SỐ — đọc kỹ trước khi cộng</t>
        </is>
      </c>
    </row>
    <row r="10">
      <c r="B10" s="6" t="inlineStr">
        <is>
          <t>day</t>
        </is>
      </c>
      <c r="C10" s="7" t="inlineStr">
        <is>
          <t>Số đo của đúng ngày đó. CỘNG DỒN ĐƯỢC. Hiện chỉ Social có (Facebook và Instagram), dựng lại từ chuỗi 28 giá trị lưu sẵn trong mỗi file ngày.</t>
        </is>
      </c>
    </row>
    <row r="11">
      <c r="B11" s="8" t="inlineStr">
        <is>
          <t>window28</t>
        </is>
      </c>
      <c r="C11" s="9" t="inlineStr">
        <is>
          <t>Đã là tổng của 28 ngày trước đó. KHÔNG ĐƯỢC CỘNG — hai ngày liền nhau chồng nhau 27 ngày, cộng lại là đếm trùng nhiều lần. Chỉ so đầu kỳ với cuối kỳ.</t>
        </is>
      </c>
    </row>
    <row r="12">
      <c r="B12" s="10" t="inlineStr">
        <is>
          <t>state</t>
        </is>
      </c>
      <c r="C12" s="11" t="inlineStr">
        <is>
          <t>Giá trị tại thời điểm quét (điểm số, tốc độ, số follower). Không cộng — lấy giá trị cuối kỳ hoặc trung bình.</t>
        </is>
      </c>
    </row>
    <row r="14">
      <c r="B14" s="3" t="inlineStr">
        <is>
          <t>Ô trống</t>
        </is>
      </c>
      <c r="C14" s="4" t="inlineStr">
        <is>
          <t>Ngày đó không đo chỉ số này. Không suy ra, không điền 0.</t>
        </is>
      </c>
    </row>
    <row r="15">
      <c r="B15" s="3" t="inlineStr">
        <is>
          <t>Ngày không quét</t>
        </is>
      </c>
      <c r="C15" s="4" t="inlineStr">
        <is>
          <t>Không bao giờ được nội suy. Ví dụ không có bản quét 20/09/2026.</t>
        </is>
      </c>
    </row>
    <row r="16">
      <c r="B16" s="3" t="inlineStr">
        <is>
          <t>Meta điều chỉnh số</t>
        </is>
      </c>
      <c r="C16" s="4" t="inlineStr">
        <is>
          <t>Với chuỗi day của Social, mỗi ngày giữ lần đọc MỚI NHẤT — Meta có sửa số về sau.</t>
        </is>
      </c>
    </row>
    <row r="19">
      <c r="B19" s="5" t="inlineStr">
        <is>
          <t>CÁC SHEET</t>
        </is>
      </c>
    </row>
    <row r="20">
      <c r="B20" s="3" t="inlineStr">
        <is>
          <t>Social — theo ngày</t>
        </is>
      </c>
      <c r="C20" s="4" t="inlineStr">
        <is>
          <t>109 dòng × 7 chỉ số · 2026-07-05 → 2026-10-21</t>
        </is>
      </c>
    </row>
    <row r="21">
      <c r="B21" s="3" t="inlineStr">
        <is>
          <t>Social — 28 ngày</t>
        </is>
      </c>
      <c r="C21" s="4" t="inlineStr">
        <is>
          <t>67 dòng × 14 chỉ số · 2026-07-23 → 2026-10-23</t>
        </is>
      </c>
    </row>
    <row r="22">
      <c r="B22" s="3" t="inlineStr">
        <is>
          <t>SEO</t>
        </is>
      </c>
      <c r="C22" s="4" t="inlineStr">
        <is>
          <t>67 dòng × 14 chỉ số · 2026-06-30 → 2026-10-23</t>
        </is>
      </c>
    </row>
    <row r="23">
      <c r="B23" s="3" t="inlineStr">
        <is>
          <t>Audit</t>
        </is>
      </c>
      <c r="C23" s="4" t="inlineStr">
        <is>
          <t>64 dòng × 11 chỉ số · 2026-07-27 → 2026-10-23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Social — theo ngày</t>
        </is>
      </c>
    </row>
    <row r="2">
      <c r="A2" s="2" t="inlineStr">
        <is>
          <t>Số theo NGÀY THẬT — cộng dồn được. Dựng lại từ chuỗi 28 giá trị trong mỗi file ngày, giữ lần đọc mới nhất cho mỗi ngày.</t>
        </is>
      </c>
    </row>
    <row r="3">
      <c r="A3" s="2" t="inlineStr">
        <is>
          <t>Nguồn: Social/data/rollup.json · 109 ngày · 7 chỉ số</t>
        </is>
      </c>
    </row>
    <row r="4">
      <c r="A4" s="2" t="inlineStr">
        <is>
          <t>grain →</t>
        </is>
      </c>
      <c r="B4" s="12" t="inlineStr">
        <is>
          <t>day</t>
        </is>
      </c>
      <c r="C4" s="12" t="inlineStr">
        <is>
          <t>day</t>
        </is>
      </c>
      <c r="D4" s="12" t="inlineStr">
        <is>
          <t>day</t>
        </is>
      </c>
      <c r="E4" s="12" t="inlineStr">
        <is>
          <t>day</t>
        </is>
      </c>
      <c r="F4" s="12" t="inlineStr">
        <is>
          <t>day</t>
        </is>
      </c>
      <c r="G4" s="12" t="inlineStr">
        <is>
          <t>day</t>
        </is>
      </c>
      <c r="H4" s="12" t="inlineStr">
        <is>
          <t>day</t>
        </is>
      </c>
    </row>
    <row r="5">
      <c r="A5" s="13" t="inlineStr">
        <is>
          <t>Ngày</t>
        </is>
      </c>
      <c r="B5" s="14" t="inlineStr">
        <is>
          <t>FB — tương tác/ngày</t>
        </is>
      </c>
      <c r="C5" s="14" t="inlineStr">
        <is>
          <t>FB — view 3 giây/ngày</t>
        </is>
      </c>
      <c r="D5" s="14" t="inlineStr">
        <is>
          <t>FB — views/ngày</t>
        </is>
      </c>
      <c r="E5" s="14" t="inlineStr">
        <is>
          <t>FB — lượt ghé/ngày</t>
        </is>
      </c>
      <c r="F5" s="14" t="inlineStr">
        <is>
          <t>IG — tương tác/ngày</t>
        </is>
      </c>
      <c r="G5" s="14" t="inlineStr">
        <is>
          <t>IG — reach/ngày</t>
        </is>
      </c>
      <c r="H5" s="14" t="inlineStr">
        <is>
          <t>IG — views/ngày</t>
        </is>
      </c>
    </row>
    <row r="6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40</v>
      </c>
      <c r="H78" s="16" t="n">
        <v>310</v>
      </c>
    </row>
    <row r="79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6</v>
      </c>
      <c r="H80" s="16" t="n">
        <v>49</v>
      </c>
    </row>
    <row r="81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23</v>
      </c>
      <c r="H81" s="16" t="n">
        <v>274</v>
      </c>
    </row>
    <row r="82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4</v>
      </c>
      <c r="H85" s="16" t="n">
        <v>29</v>
      </c>
    </row>
    <row r="86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5</v>
      </c>
      <c r="H88" s="16" t="n">
        <v>29</v>
      </c>
    </row>
    <row r="89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5</v>
      </c>
      <c r="H91" s="16" t="n">
        <v>30</v>
      </c>
    </row>
    <row r="92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9</v>
      </c>
      <c r="H93" s="16" t="n">
        <v>147</v>
      </c>
    </row>
    <row r="94">
      <c r="A94" s="15" t="n">
        <v>46296</v>
      </c>
      <c r="B94" s="16" t="n">
        <v>12</v>
      </c>
      <c r="C94" s="16" t="n">
        <v>35</v>
      </c>
      <c r="D94" s="16" t="n">
        <v>189</v>
      </c>
      <c r="E94" s="16" t="n">
        <v>6</v>
      </c>
      <c r="F94" s="16" t="n">
        <v>7</v>
      </c>
      <c r="G94" s="16" t="n">
        <v>32</v>
      </c>
      <c r="H94" s="16" t="n">
        <v>105</v>
      </c>
    </row>
    <row r="95">
      <c r="A95" s="15" t="n">
        <v>46297</v>
      </c>
      <c r="B95" s="16" t="n">
        <v>9</v>
      </c>
      <c r="C95" s="16" t="n">
        <v>55</v>
      </c>
      <c r="D95" s="16" t="n">
        <v>194</v>
      </c>
      <c r="E95" s="16" t="n">
        <v>0</v>
      </c>
      <c r="F95" s="16" t="n">
        <v>3</v>
      </c>
      <c r="G95" s="16" t="n">
        <v>7</v>
      </c>
      <c r="H95" s="16" t="n">
        <v>183</v>
      </c>
    </row>
    <row r="96">
      <c r="A96" s="15" t="n">
        <v>46298</v>
      </c>
      <c r="B96" s="16" t="n">
        <v>2</v>
      </c>
      <c r="C96" s="16" t="n">
        <v>6</v>
      </c>
      <c r="D96" s="16" t="n">
        <v>54</v>
      </c>
      <c r="E96" s="16" t="n">
        <v>0</v>
      </c>
      <c r="F96" s="16" t="n">
        <v>1</v>
      </c>
      <c r="G96" s="16" t="n">
        <v>3</v>
      </c>
      <c r="H96" s="16" t="n">
        <v>17</v>
      </c>
    </row>
    <row r="97">
      <c r="A97" s="15" t="n">
        <v>46299</v>
      </c>
      <c r="B97" s="16" t="n">
        <v>0</v>
      </c>
      <c r="C97" s="16" t="n">
        <v>4</v>
      </c>
      <c r="D97" s="16" t="n">
        <v>45</v>
      </c>
      <c r="E97" s="16" t="n">
        <v>2</v>
      </c>
      <c r="F97" s="16" t="n">
        <v>0</v>
      </c>
      <c r="G97" s="16" t="n">
        <v>1</v>
      </c>
      <c r="H97" s="16" t="n">
        <v>19</v>
      </c>
    </row>
    <row r="98">
      <c r="A98" s="15" t="n">
        <v>46300</v>
      </c>
      <c r="B98" s="16" t="n">
        <v>51</v>
      </c>
      <c r="C98" s="16" t="n">
        <v>8</v>
      </c>
      <c r="D98" s="16" t="n">
        <v>197</v>
      </c>
      <c r="E98" s="16" t="n">
        <v>13</v>
      </c>
      <c r="F98" s="16" t="n">
        <v>0</v>
      </c>
      <c r="G98" s="16" t="n">
        <v>5</v>
      </c>
      <c r="H98" s="16" t="n">
        <v>143</v>
      </c>
    </row>
    <row r="99">
      <c r="A99" s="15" t="n">
        <v>46301</v>
      </c>
      <c r="B99" s="16" t="n">
        <v>4</v>
      </c>
      <c r="C99" s="16" t="n">
        <v>38</v>
      </c>
      <c r="D99" s="16" t="n">
        <v>521</v>
      </c>
      <c r="E99" s="16" t="n">
        <v>71</v>
      </c>
      <c r="F99" s="16" t="n">
        <v>2</v>
      </c>
      <c r="G99" s="16" t="n">
        <v>3</v>
      </c>
      <c r="H99" s="16" t="n">
        <v>171</v>
      </c>
    </row>
    <row r="100">
      <c r="A100" s="15" t="n">
        <v>46302</v>
      </c>
      <c r="B100" s="16" t="n">
        <v>8</v>
      </c>
      <c r="C100" s="16" t="n">
        <v>61</v>
      </c>
      <c r="D100" s="16" t="n">
        <v>307</v>
      </c>
      <c r="E100" s="16" t="n">
        <v>57</v>
      </c>
      <c r="F100" s="16" t="n">
        <v>2</v>
      </c>
      <c r="G100" s="16" t="n">
        <v>19</v>
      </c>
      <c r="H100" s="16" t="n">
        <v>112</v>
      </c>
    </row>
    <row r="101">
      <c r="A101" s="15" t="n">
        <v>46303</v>
      </c>
      <c r="B101" s="16" t="n">
        <v>4</v>
      </c>
      <c r="C101" s="16" t="n">
        <v>9</v>
      </c>
      <c r="D101" s="16" t="n">
        <v>216</v>
      </c>
      <c r="E101" s="16" t="n">
        <v>8</v>
      </c>
      <c r="F101" s="16" t="n">
        <v>3</v>
      </c>
      <c r="G101" s="16" t="n">
        <v>6</v>
      </c>
      <c r="H101" s="16" t="n">
        <v>59</v>
      </c>
    </row>
    <row r="102">
      <c r="A102" s="15" t="n">
        <v>46304</v>
      </c>
      <c r="B102" s="16" t="n">
        <v>2</v>
      </c>
      <c r="C102" s="16" t="n">
        <v>0</v>
      </c>
      <c r="D102" s="16" t="n">
        <v>39</v>
      </c>
      <c r="E102" s="16" t="n">
        <v>2</v>
      </c>
      <c r="F102" s="16" t="n">
        <v>0</v>
      </c>
      <c r="G102" s="16" t="n">
        <v>1</v>
      </c>
      <c r="H102" s="16" t="n">
        <v>6</v>
      </c>
    </row>
    <row r="103">
      <c r="A103" s="15" t="n">
        <v>46305</v>
      </c>
      <c r="B103" s="16" t="n">
        <v>0</v>
      </c>
      <c r="C103" s="16" t="n">
        <v>0</v>
      </c>
      <c r="D103" s="16" t="n">
        <v>90</v>
      </c>
      <c r="E103" s="16" t="n">
        <v>0</v>
      </c>
      <c r="F103" s="16" t="n">
        <v>1</v>
      </c>
      <c r="G103" s="16" t="n">
        <v>0</v>
      </c>
      <c r="H103" s="16" t="n">
        <v>6</v>
      </c>
    </row>
    <row r="104">
      <c r="A104" s="15" t="n">
        <v>46306</v>
      </c>
      <c r="B104" s="16" t="n">
        <v>0</v>
      </c>
      <c r="C104" s="16" t="n">
        <v>1</v>
      </c>
      <c r="D104" s="16" t="n">
        <v>34</v>
      </c>
      <c r="E104" s="16" t="n">
        <v>3</v>
      </c>
      <c r="F104" s="16" t="n">
        <v>0</v>
      </c>
      <c r="G104" s="16" t="n">
        <v>2</v>
      </c>
      <c r="H104" s="16" t="n">
        <v>9</v>
      </c>
    </row>
    <row r="105">
      <c r="A105" s="15" t="n">
        <v>46307</v>
      </c>
      <c r="B105" s="16" t="n">
        <v>2</v>
      </c>
      <c r="C105" s="16" t="n">
        <v>26</v>
      </c>
      <c r="D105" s="16" t="n">
        <v>201</v>
      </c>
      <c r="E105" s="16" t="n">
        <v>82</v>
      </c>
      <c r="F105" s="16" t="n">
        <v>1</v>
      </c>
      <c r="G105" s="16" t="n">
        <v>6</v>
      </c>
      <c r="H105" s="16" t="n">
        <v>129</v>
      </c>
    </row>
    <row r="106">
      <c r="A106" s="15" t="n">
        <v>46308</v>
      </c>
      <c r="B106" s="16" t="n">
        <v>3</v>
      </c>
      <c r="C106" s="16" t="n">
        <v>1</v>
      </c>
      <c r="D106" s="16" t="n">
        <v>71</v>
      </c>
      <c r="E106" s="16" t="n">
        <v>16</v>
      </c>
      <c r="F106" s="16" t="n">
        <v>0</v>
      </c>
      <c r="G106" s="16" t="n">
        <v>0</v>
      </c>
      <c r="H106" s="16" t="n">
        <v>9</v>
      </c>
    </row>
    <row r="107">
      <c r="A107" s="15" t="n">
        <v>46309</v>
      </c>
      <c r="B107" s="16" t="n">
        <v>5</v>
      </c>
      <c r="C107" s="16" t="n">
        <v>0</v>
      </c>
      <c r="D107" s="16" t="n">
        <v>176</v>
      </c>
      <c r="E107" s="16" t="n">
        <v>56</v>
      </c>
      <c r="F107" s="16" t="n">
        <v>0</v>
      </c>
      <c r="G107" s="16" t="n"/>
      <c r="H107" s="16" t="n">
        <v>57</v>
      </c>
    </row>
    <row r="108">
      <c r="A108" s="15" t="n">
        <v>46310</v>
      </c>
      <c r="B108" s="16" t="n">
        <v>2</v>
      </c>
      <c r="C108" s="16" t="n">
        <v>33</v>
      </c>
      <c r="D108" s="16" t="n">
        <v>141</v>
      </c>
      <c r="E108" s="16" t="n">
        <v>29</v>
      </c>
      <c r="F108" s="16" t="n">
        <v>4</v>
      </c>
      <c r="G108" s="16" t="n"/>
      <c r="H108" s="16" t="n">
        <v>141</v>
      </c>
    </row>
    <row r="109">
      <c r="A109" s="15" t="n">
        <v>46311</v>
      </c>
      <c r="B109" s="16" t="n">
        <v>4</v>
      </c>
      <c r="C109" s="16" t="n">
        <v>5</v>
      </c>
      <c r="D109" s="16" t="n">
        <v>68</v>
      </c>
      <c r="E109" s="16" t="n">
        <v>10</v>
      </c>
      <c r="F109" s="16" t="n">
        <v>3</v>
      </c>
      <c r="G109" s="16" t="n"/>
      <c r="H109" s="16" t="n">
        <v>24</v>
      </c>
    </row>
    <row r="110">
      <c r="A110" s="15" t="n">
        <v>46312</v>
      </c>
      <c r="B110" s="16" t="n">
        <v>3</v>
      </c>
      <c r="C110" s="16" t="n">
        <v>35</v>
      </c>
      <c r="D110" s="16" t="n">
        <v>116</v>
      </c>
      <c r="E110" s="16" t="n">
        <v>8</v>
      </c>
      <c r="F110" s="16" t="n">
        <v>0</v>
      </c>
      <c r="G110" s="16" t="n"/>
      <c r="H110" s="16" t="n">
        <v>128</v>
      </c>
    </row>
    <row r="111">
      <c r="A111" s="15" t="n">
        <v>46313</v>
      </c>
      <c r="B111" s="16" t="n">
        <v>1</v>
      </c>
      <c r="C111" s="16" t="n">
        <v>9</v>
      </c>
      <c r="D111" s="16" t="n">
        <v>45</v>
      </c>
      <c r="E111" s="16" t="n">
        <v>35</v>
      </c>
      <c r="F111" s="16" t="n">
        <v>1</v>
      </c>
      <c r="G111" s="16" t="n"/>
      <c r="H111" s="16" t="n">
        <v>18</v>
      </c>
    </row>
    <row r="112">
      <c r="A112" s="15" t="n">
        <v>46314</v>
      </c>
      <c r="B112" s="16" t="n">
        <v>4</v>
      </c>
      <c r="C112" s="16" t="n">
        <v>2</v>
      </c>
      <c r="D112" s="16" t="n">
        <v>125</v>
      </c>
      <c r="E112" s="16" t="n">
        <v>21</v>
      </c>
      <c r="F112" s="16" t="n">
        <v>4</v>
      </c>
      <c r="G112" s="16" t="n"/>
      <c r="H112" s="16" t="n">
        <v>49</v>
      </c>
    </row>
    <row r="113">
      <c r="A113" s="15" t="n">
        <v>46315</v>
      </c>
      <c r="B113" s="16" t="n">
        <v>12</v>
      </c>
      <c r="C113" s="16" t="n">
        <v>5</v>
      </c>
      <c r="D113" s="16" t="n">
        <v>203</v>
      </c>
      <c r="E113" s="16" t="n">
        <v>22</v>
      </c>
      <c r="F113" s="16" t="n">
        <v>11</v>
      </c>
      <c r="G113" s="16" t="n"/>
      <c r="H113" s="16" t="n">
        <v>52</v>
      </c>
    </row>
    <row r="114">
      <c r="A114" s="15" t="n">
        <v>46316</v>
      </c>
      <c r="B114" s="16" t="n">
        <v>5</v>
      </c>
      <c r="C114" s="16" t="n">
        <v>67</v>
      </c>
      <c r="D114" s="16" t="n">
        <v>285</v>
      </c>
      <c r="E114" s="16" t="n">
        <v>45</v>
      </c>
      <c r="F114" s="16" t="n">
        <v>5</v>
      </c>
      <c r="G114" s="16" t="n"/>
      <c r="H114" s="16" t="n">
        <v>130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Social — 28 ngày</t>
        </is>
      </c>
    </row>
    <row r="2">
      <c r="A2" s="2" t="inlineStr">
        <is>
          <t>Ảnh chụp cửa sổ 28 ngày và chỉ số trạng thái — KHÔNG cộng dồn. Chỉ so đầu kỳ với cuối kỳ.</t>
        </is>
      </c>
    </row>
    <row r="3">
      <c r="A3" s="2" t="inlineStr">
        <is>
          <t>Nguồn: Social/data/rollup.json · 67 ngày · 14 chỉ số</t>
        </is>
      </c>
    </row>
    <row r="4">
      <c r="A4" s="2" t="inlineStr">
        <is>
          <t>grain →</t>
        </is>
      </c>
      <c r="B4" s="17" t="inlineStr">
        <is>
          <t>state</t>
        </is>
      </c>
      <c r="C4" s="18" t="inlineStr">
        <is>
          <t>window28</t>
        </is>
      </c>
      <c r="D4" s="18" t="inlineStr">
        <is>
          <t>window28</t>
        </is>
      </c>
      <c r="E4" s="18" t="inlineStr">
        <is>
          <t>window28</t>
        </is>
      </c>
      <c r="F4" s="17" t="inlineStr">
        <is>
          <t>state</t>
        </is>
      </c>
      <c r="G4" s="18" t="inlineStr">
        <is>
          <t>window28</t>
        </is>
      </c>
      <c r="H4" s="18" t="inlineStr">
        <is>
          <t>window28</t>
        </is>
      </c>
      <c r="I4" s="18" t="inlineStr">
        <is>
          <t>window28</t>
        </is>
      </c>
      <c r="J4" s="17" t="inlineStr">
        <is>
          <t>state</t>
        </is>
      </c>
      <c r="K4" s="18" t="inlineStr">
        <is>
          <t>window28</t>
        </is>
      </c>
      <c r="L4" s="18" t="inlineStr">
        <is>
          <t>window28</t>
        </is>
      </c>
      <c r="M4" s="18" t="inlineStr">
        <is>
          <t>window28</t>
        </is>
      </c>
      <c r="N4" s="17" t="inlineStr">
        <is>
          <t>state</t>
        </is>
      </c>
      <c r="O4" s="18" t="inlineStr">
        <is>
          <t>window28</t>
        </is>
      </c>
    </row>
    <row r="5">
      <c r="A5" s="13" t="inlineStr">
        <is>
          <t>Ngày</t>
        </is>
      </c>
      <c r="B5" s="14" t="inlineStr">
        <is>
          <t>FB — followers</t>
        </is>
      </c>
      <c r="C5" s="14" t="inlineStr">
        <is>
          <t>FB — tương tác (28n)</t>
        </is>
      </c>
      <c r="D5" s="14" t="inlineStr">
        <is>
          <t>FB — views (28n)</t>
        </is>
      </c>
      <c r="E5" s="14" t="inlineStr">
        <is>
          <t>FB — lượt ghé (28n)</t>
        </is>
      </c>
      <c r="F5" s="14" t="inlineStr">
        <is>
          <t>IG — followers</t>
        </is>
      </c>
      <c r="G5" s="14" t="inlineStr">
        <is>
          <t>IG — tương tác (28n)</t>
        </is>
      </c>
      <c r="H5" s="14" t="inlineStr">
        <is>
          <t>IG — reach (28n)</t>
        </is>
      </c>
      <c r="I5" s="14" t="inlineStr">
        <is>
          <t>IG — views (28n)</t>
        </is>
      </c>
      <c r="J5" s="14" t="inlineStr">
        <is>
          <t>LinkedIn — followers</t>
        </is>
      </c>
      <c r="K5" s="14" t="inlineStr">
        <is>
          <t>LinkedIn — impressions (28n)</t>
        </is>
      </c>
      <c r="L5" s="14" t="inlineStr">
        <is>
          <t>LinkedIn — lượt xem trang (28n)</t>
        </is>
      </c>
      <c r="M5" s="14" t="inlineStr">
        <is>
          <t>LinkedIn — reactions (28n)</t>
        </is>
      </c>
      <c r="N5" s="14" t="inlineStr">
        <is>
          <t>YouTube — subscribers</t>
        </is>
      </c>
      <c r="O5" s="14" t="inlineStr">
        <is>
          <t>YouTube — views (28n)</t>
        </is>
      </c>
    </row>
    <row r="6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 t="n"/>
      <c r="O55" s="16" t="n"/>
    </row>
    <row r="56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  <row r="57">
      <c r="A57" s="15" t="n">
        <v>46298</v>
      </c>
      <c r="B57" s="16" t="n">
        <v>116</v>
      </c>
      <c r="C57" s="16" t="n">
        <v>157</v>
      </c>
      <c r="D57" s="16" t="n">
        <v>4412</v>
      </c>
      <c r="E57" s="16" t="n">
        <v>401</v>
      </c>
      <c r="F57" s="16" t="n">
        <v>49</v>
      </c>
      <c r="G57" s="16" t="n">
        <v>32</v>
      </c>
      <c r="H57" s="16" t="n">
        <v>116</v>
      </c>
      <c r="I57" s="16" t="n">
        <v>2610</v>
      </c>
      <c r="J57" s="16" t="n">
        <v>102</v>
      </c>
      <c r="K57" s="16" t="n">
        <v>1263</v>
      </c>
      <c r="L57" s="16" t="n">
        <v>33</v>
      </c>
      <c r="M57" s="16" t="n">
        <v>34</v>
      </c>
      <c r="N57" s="16" t="n">
        <v>7</v>
      </c>
      <c r="O57" s="16" t="n">
        <v>736</v>
      </c>
    </row>
    <row r="58">
      <c r="A58" s="15" t="n">
        <v>46300</v>
      </c>
      <c r="B58" s="16" t="n">
        <v>116</v>
      </c>
      <c r="C58" s="16" t="n">
        <v>158</v>
      </c>
      <c r="D58" s="16" t="n">
        <v>4404</v>
      </c>
      <c r="E58" s="16" t="n">
        <v>401</v>
      </c>
      <c r="F58" s="16" t="n">
        <v>49</v>
      </c>
      <c r="G58" s="16" t="n">
        <v>33</v>
      </c>
      <c r="H58" s="16" t="n">
        <v>117</v>
      </c>
      <c r="I58" s="16" t="n">
        <v>2616</v>
      </c>
      <c r="J58" s="16" t="n">
        <v>102</v>
      </c>
      <c r="K58" s="16" t="n">
        <v>1282</v>
      </c>
      <c r="L58" s="16" t="n">
        <v>33</v>
      </c>
      <c r="M58" s="16" t="n">
        <v>36</v>
      </c>
      <c r="N58" s="16" t="n">
        <v>7</v>
      </c>
      <c r="O58" s="16" t="n">
        <v>938</v>
      </c>
    </row>
    <row r="59">
      <c r="A59" s="15" t="n">
        <v>46301</v>
      </c>
      <c r="B59" s="16" t="n">
        <v>116</v>
      </c>
      <c r="C59" s="16" t="n">
        <v>158</v>
      </c>
      <c r="D59" s="16" t="n">
        <v>4380</v>
      </c>
      <c r="E59" s="16" t="n">
        <v>366</v>
      </c>
      <c r="F59" s="16" t="n">
        <v>49</v>
      </c>
      <c r="G59" s="16" t="n">
        <v>33</v>
      </c>
      <c r="H59" s="16" t="n">
        <v>117</v>
      </c>
      <c r="I59" s="16" t="n">
        <v>2610</v>
      </c>
      <c r="J59" s="16" t="n">
        <v>102</v>
      </c>
      <c r="K59" s="16" t="n">
        <v>1253</v>
      </c>
      <c r="L59" s="16" t="n">
        <v>31</v>
      </c>
      <c r="M59" s="16" t="n">
        <v>37</v>
      </c>
      <c r="N59" s="16" t="n">
        <v>7</v>
      </c>
      <c r="O59" s="16" t="n">
        <v>940</v>
      </c>
    </row>
    <row r="60">
      <c r="A60" s="15" t="n">
        <v>46302</v>
      </c>
      <c r="B60" s="16" t="n">
        <v>116</v>
      </c>
      <c r="C60" s="16" t="n">
        <v>201</v>
      </c>
      <c r="D60" s="16" t="n">
        <v>4418</v>
      </c>
      <c r="E60" s="16" t="n">
        <v>352</v>
      </c>
      <c r="F60" s="16" t="n">
        <v>49</v>
      </c>
      <c r="G60" s="16" t="n">
        <v>33</v>
      </c>
      <c r="H60" s="16" t="n">
        <v>119</v>
      </c>
      <c r="I60" s="16" t="n">
        <v>2707</v>
      </c>
      <c r="J60" s="16" t="n">
        <v>102</v>
      </c>
      <c r="K60" s="16" t="n">
        <v>1188</v>
      </c>
      <c r="L60" s="16" t="n">
        <v>29</v>
      </c>
      <c r="M60" s="16" t="n">
        <v>29</v>
      </c>
      <c r="N60" s="16" t="n">
        <v>7</v>
      </c>
      <c r="O60" s="16" t="n">
        <v>939</v>
      </c>
    </row>
    <row r="61">
      <c r="A61" s="15" t="n">
        <v>46303</v>
      </c>
      <c r="B61" s="16" t="n">
        <v>116</v>
      </c>
      <c r="C61" s="16" t="n">
        <v>198</v>
      </c>
      <c r="D61" s="16" t="n">
        <v>4680</v>
      </c>
      <c r="E61" s="16" t="n">
        <v>393</v>
      </c>
      <c r="F61" s="16" t="n">
        <v>49</v>
      </c>
      <c r="G61" s="16" t="n">
        <v>35</v>
      </c>
      <c r="H61" s="16" t="n">
        <v>114</v>
      </c>
      <c r="I61" s="16" t="n">
        <v>2794</v>
      </c>
      <c r="J61" s="16" t="n">
        <v>120</v>
      </c>
      <c r="K61" s="16" t="n">
        <v>1220</v>
      </c>
      <c r="L61" s="16" t="n">
        <v>29</v>
      </c>
      <c r="M61" s="16" t="n">
        <v>29</v>
      </c>
      <c r="N61" s="16" t="n">
        <v>7</v>
      </c>
      <c r="O61" s="16" t="n">
        <v>681</v>
      </c>
    </row>
    <row r="62">
      <c r="A62" s="15" t="n">
        <v>46304</v>
      </c>
      <c r="B62" s="16" t="n">
        <v>116</v>
      </c>
      <c r="C62" s="16" t="n">
        <v>197</v>
      </c>
      <c r="D62" s="16" t="n">
        <v>4362</v>
      </c>
      <c r="E62" s="16" t="n">
        <v>442</v>
      </c>
      <c r="F62" s="16" t="n">
        <v>49</v>
      </c>
      <c r="G62" s="16" t="n">
        <v>37</v>
      </c>
      <c r="H62" s="16" t="n">
        <v>117</v>
      </c>
      <c r="I62" s="16" t="n">
        <v>2466</v>
      </c>
      <c r="J62" s="16" t="n">
        <v>124</v>
      </c>
      <c r="K62" s="16" t="n">
        <v>1243</v>
      </c>
      <c r="L62" s="16" t="n">
        <v>30</v>
      </c>
      <c r="M62" s="16" t="n">
        <v>30</v>
      </c>
      <c r="N62" s="16" t="n">
        <v>7</v>
      </c>
      <c r="O62" s="16" t="n">
        <v>841</v>
      </c>
    </row>
    <row r="63">
      <c r="A63" s="15" t="n">
        <v>46307</v>
      </c>
      <c r="B63" s="16" t="n">
        <v>116</v>
      </c>
      <c r="C63" s="16" t="n">
        <v>190</v>
      </c>
      <c r="D63" s="16" t="n">
        <v>4238</v>
      </c>
      <c r="E63" s="16" t="n">
        <v>431</v>
      </c>
      <c r="F63" s="16" t="n">
        <v>49</v>
      </c>
      <c r="G63" s="16" t="n">
        <v>38</v>
      </c>
      <c r="H63" s="16" t="n">
        <v>119</v>
      </c>
      <c r="I63" s="16" t="n">
        <v>2250</v>
      </c>
      <c r="J63" s="16" t="n">
        <v>128</v>
      </c>
      <c r="K63" s="16" t="n">
        <v>1404</v>
      </c>
      <c r="L63" s="16" t="n">
        <v>59</v>
      </c>
      <c r="M63" s="16" t="n">
        <v>44</v>
      </c>
      <c r="N63" s="16" t="n">
        <v>7</v>
      </c>
      <c r="O63" s="16" t="n">
        <v>846</v>
      </c>
    </row>
    <row r="64">
      <c r="A64" s="15" t="n">
        <v>46308</v>
      </c>
      <c r="B64" s="16" t="n">
        <v>116</v>
      </c>
      <c r="C64" s="16" t="n">
        <v>190</v>
      </c>
      <c r="D64" s="16" t="n">
        <v>4156</v>
      </c>
      <c r="E64" s="16" t="n">
        <v>418</v>
      </c>
      <c r="F64" s="16" t="n">
        <v>49</v>
      </c>
      <c r="G64" s="16" t="n">
        <v>38</v>
      </c>
      <c r="H64" s="16" t="n">
        <v>119</v>
      </c>
      <c r="I64" s="16" t="n">
        <v>2218</v>
      </c>
      <c r="J64" s="16" t="n">
        <v>131</v>
      </c>
      <c r="K64" s="16" t="n">
        <v>1103</v>
      </c>
      <c r="L64" s="16" t="n">
        <v>58</v>
      </c>
      <c r="M64" s="16" t="n">
        <v>41</v>
      </c>
      <c r="N64" s="16" t="n">
        <v>7</v>
      </c>
      <c r="O64" s="16" t="n">
        <v>842</v>
      </c>
    </row>
    <row r="65">
      <c r="A65" s="15" t="n">
        <v>46309</v>
      </c>
      <c r="B65" s="16" t="n">
        <v>116</v>
      </c>
      <c r="C65" s="16" t="n">
        <v>184</v>
      </c>
      <c r="D65" s="16" t="n">
        <v>4139</v>
      </c>
      <c r="E65" s="16" t="n">
        <v>493</v>
      </c>
      <c r="F65" s="16" t="n">
        <v>49</v>
      </c>
      <c r="G65" s="16" t="n">
        <v>39</v>
      </c>
      <c r="H65" s="16" t="n">
        <v>120</v>
      </c>
      <c r="I65" s="16" t="n">
        <v>2169</v>
      </c>
      <c r="J65" s="16" t="n">
        <v>132</v>
      </c>
      <c r="K65" s="16" t="n">
        <v>1090</v>
      </c>
      <c r="L65" s="16" t="n">
        <v>59</v>
      </c>
      <c r="M65" s="16" t="n">
        <v>41</v>
      </c>
      <c r="N65" s="16" t="n">
        <v>7</v>
      </c>
      <c r="O65" s="16" t="n">
        <v>842</v>
      </c>
    </row>
    <row r="66">
      <c r="A66" s="15" t="n">
        <v>46310</v>
      </c>
      <c r="B66" s="16" t="n">
        <v>116</v>
      </c>
      <c r="C66" s="16" t="n">
        <v>181</v>
      </c>
      <c r="D66" s="16" t="n">
        <v>3995</v>
      </c>
      <c r="E66" s="16" t="n">
        <v>432</v>
      </c>
      <c r="F66" s="16" t="n">
        <v>49</v>
      </c>
      <c r="G66" s="16" t="n">
        <v>36</v>
      </c>
      <c r="H66" s="16" t="n">
        <v>85</v>
      </c>
      <c r="I66" s="16" t="n">
        <v>1868</v>
      </c>
      <c r="J66" s="16" t="n">
        <v>133</v>
      </c>
      <c r="K66" s="16" t="n">
        <v>1108</v>
      </c>
      <c r="L66" s="16" t="n">
        <v>60</v>
      </c>
      <c r="M66" s="16" t="n">
        <v>37</v>
      </c>
      <c r="N66" s="16" t="n">
        <v>7</v>
      </c>
      <c r="O66" s="16" t="n">
        <v>721</v>
      </c>
    </row>
    <row r="67">
      <c r="A67" s="15" t="n">
        <v>46311</v>
      </c>
      <c r="B67" s="16" t="n">
        <v>116</v>
      </c>
      <c r="C67" s="16" t="n">
        <v>176</v>
      </c>
      <c r="D67" s="16" t="n">
        <v>4074</v>
      </c>
      <c r="E67" s="16" t="n">
        <v>475</v>
      </c>
      <c r="F67" s="16" t="n">
        <v>49</v>
      </c>
      <c r="G67" s="16" t="n">
        <v>36</v>
      </c>
      <c r="H67" s="16" t="n">
        <v>82</v>
      </c>
      <c r="I67" s="16" t="n">
        <v>1823</v>
      </c>
      <c r="J67" s="16" t="n"/>
      <c r="K67" s="16" t="n"/>
      <c r="L67" s="16" t="n"/>
      <c r="M67" s="16" t="n"/>
      <c r="N67" s="16" t="n">
        <v>7</v>
      </c>
      <c r="O67" s="16" t="n">
        <v>718</v>
      </c>
    </row>
    <row r="68">
      <c r="A68" s="15" t="n">
        <v>46313</v>
      </c>
      <c r="B68" s="16" t="n">
        <v>116</v>
      </c>
      <c r="C68" s="16" t="n">
        <v>171</v>
      </c>
      <c r="D68" s="16" t="n">
        <v>3891</v>
      </c>
      <c r="E68" s="16" t="n">
        <v>462</v>
      </c>
      <c r="F68" s="16" t="n">
        <v>49</v>
      </c>
      <c r="G68" s="16" t="n">
        <v>43</v>
      </c>
      <c r="H68" s="16" t="n">
        <v>175</v>
      </c>
      <c r="I68" s="16" t="n">
        <v>1665</v>
      </c>
      <c r="J68" s="16" t="n">
        <v>136</v>
      </c>
      <c r="K68" s="16" t="n">
        <v>1299</v>
      </c>
      <c r="L68" s="16" t="n">
        <v>79</v>
      </c>
      <c r="M68" s="16" t="n">
        <v>38</v>
      </c>
      <c r="N68" s="16" t="n">
        <v>7</v>
      </c>
      <c r="O68" s="16" t="n">
        <v>586</v>
      </c>
    </row>
    <row r="69">
      <c r="A69" s="15" t="n">
        <v>46315</v>
      </c>
      <c r="B69" s="16" t="n">
        <v>117</v>
      </c>
      <c r="C69" s="16" t="n">
        <v>173</v>
      </c>
      <c r="D69" s="16" t="n">
        <v>3981</v>
      </c>
      <c r="E69" s="16" t="n">
        <v>490</v>
      </c>
      <c r="F69" s="16" t="n">
        <v>49</v>
      </c>
      <c r="G69" s="16" t="n">
        <v>44</v>
      </c>
      <c r="H69" s="16" t="n">
        <v>285</v>
      </c>
      <c r="I69" s="16" t="n">
        <v>1775</v>
      </c>
      <c r="J69" s="16" t="n">
        <v>138</v>
      </c>
      <c r="K69" s="16" t="n">
        <v>1278</v>
      </c>
      <c r="L69" s="16" t="n">
        <v>82</v>
      </c>
      <c r="M69" s="16" t="n">
        <v>37</v>
      </c>
      <c r="N69" s="16" t="n">
        <v>7</v>
      </c>
      <c r="O69" s="16" t="n">
        <v>780</v>
      </c>
    </row>
    <row r="70">
      <c r="A70" s="15" t="n">
        <v>46316</v>
      </c>
      <c r="B70" s="16" t="n">
        <v>116</v>
      </c>
      <c r="C70" s="16" t="n">
        <v>171</v>
      </c>
      <c r="D70" s="16" t="n">
        <v>3957</v>
      </c>
      <c r="E70" s="16" t="n">
        <v>499</v>
      </c>
      <c r="F70" s="16" t="n">
        <v>49</v>
      </c>
      <c r="G70" s="16" t="n">
        <v>48</v>
      </c>
      <c r="H70" s="16" t="n">
        <v>286</v>
      </c>
      <c r="I70" s="16" t="n">
        <v>1767</v>
      </c>
      <c r="J70" s="16" t="n">
        <v>139</v>
      </c>
      <c r="K70" s="16" t="n">
        <v>1263</v>
      </c>
      <c r="L70" s="16" t="n">
        <v>80</v>
      </c>
      <c r="M70" s="16" t="n">
        <v>38</v>
      </c>
      <c r="N70" s="16" t="n">
        <v>7</v>
      </c>
      <c r="O70" s="16" t="n">
        <v>782</v>
      </c>
    </row>
    <row r="71">
      <c r="A71" s="15" t="n">
        <v>46317</v>
      </c>
      <c r="B71" s="16" t="n">
        <v>116</v>
      </c>
      <c r="C71" s="16" t="n">
        <v>177</v>
      </c>
      <c r="D71" s="16" t="n">
        <v>4026</v>
      </c>
      <c r="E71" s="16" t="n">
        <v>517</v>
      </c>
      <c r="F71" s="16" t="n">
        <v>49</v>
      </c>
      <c r="G71" s="16" t="n">
        <v>57</v>
      </c>
      <c r="H71" s="16" t="n">
        <v>286</v>
      </c>
      <c r="I71" s="16" t="n">
        <v>1790</v>
      </c>
      <c r="J71" s="16" t="n">
        <v>138</v>
      </c>
      <c r="K71" s="16" t="n">
        <v>1250</v>
      </c>
      <c r="L71" s="16" t="n">
        <v>80</v>
      </c>
      <c r="M71" s="16" t="n">
        <v>35</v>
      </c>
      <c r="N71" s="16" t="n">
        <v>7</v>
      </c>
      <c r="O71" s="16" t="n">
        <v>783</v>
      </c>
    </row>
    <row r="72">
      <c r="A72" s="15" t="n">
        <v>46318</v>
      </c>
      <c r="B72" s="16" t="n">
        <v>116</v>
      </c>
      <c r="C72" s="16" t="n">
        <v>175</v>
      </c>
      <c r="D72" s="16" t="n">
        <v>4124</v>
      </c>
      <c r="E72" s="16" t="n">
        <v>531</v>
      </c>
      <c r="F72" s="16" t="n">
        <v>49</v>
      </c>
      <c r="G72" s="16" t="n">
        <v>60</v>
      </c>
      <c r="H72" s="16" t="n">
        <v>334</v>
      </c>
      <c r="I72" s="16" t="n">
        <v>1875</v>
      </c>
      <c r="J72" s="16" t="n"/>
      <c r="K72" s="16" t="n"/>
      <c r="L72" s="16" t="n"/>
      <c r="M72" s="16" t="n"/>
      <c r="N72" s="16" t="n">
        <v>7</v>
      </c>
      <c r="O72" s="16" t="n">
        <v>860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SEO</t>
        </is>
      </c>
    </row>
    <row r="2">
      <c r="A2" s="2" t="inlineStr">
        <is>
          <t>GSC/GA4 là cửa sổ 28 ngày trượt; Ahrefs, TTFB, sitemap là trạng thái. KHÔNG cộng dồn.</t>
        </is>
      </c>
    </row>
    <row r="3">
      <c r="A3" s="2" t="inlineStr">
        <is>
          <t>Nguồn: SEO/data/rollup.json · 67 ngày · 14 chỉ số</t>
        </is>
      </c>
    </row>
    <row r="4">
      <c r="A4" s="2" t="inlineStr">
        <is>
          <t>grain →</t>
        </is>
      </c>
      <c r="B4" s="17" t="inlineStr">
        <is>
          <t>state</t>
        </is>
      </c>
      <c r="C4" s="17" t="inlineStr">
        <is>
          <t>state</t>
        </is>
      </c>
      <c r="D4" s="17" t="inlineStr">
        <is>
          <t>state</t>
        </is>
      </c>
      <c r="E4" s="18" t="inlineStr">
        <is>
          <t>window28</t>
        </is>
      </c>
      <c r="F4" s="18" t="inlineStr">
        <is>
          <t>window28</t>
        </is>
      </c>
      <c r="G4" s="18" t="inlineStr">
        <is>
          <t>window28</t>
        </is>
      </c>
      <c r="H4" s="18" t="inlineStr">
        <is>
          <t>window28</t>
        </is>
      </c>
      <c r="I4" s="18" t="inlineStr">
        <is>
          <t>window28</t>
        </is>
      </c>
      <c r="J4" s="18" t="inlineStr">
        <is>
          <t>window28</t>
        </is>
      </c>
      <c r="K4" s="18" t="inlineStr">
        <is>
          <t>window28</t>
        </is>
      </c>
      <c r="L4" s="18" t="inlineStr">
        <is>
          <t>window28</t>
        </is>
      </c>
      <c r="M4" s="18" t="inlineStr">
        <is>
          <t>window28</t>
        </is>
      </c>
      <c r="N4" s="17" t="inlineStr">
        <is>
          <t>state</t>
        </is>
      </c>
      <c r="O4" s="17" t="inlineStr">
        <is>
          <t>state</t>
        </is>
      </c>
    </row>
    <row r="5">
      <c r="A5" s="13" t="inlineStr">
        <is>
          <t>Ngày</t>
        </is>
      </c>
      <c r="B5" s="14" t="inlineStr">
        <is>
          <t>Ahrefs — trích dẫn AI</t>
        </is>
      </c>
      <c r="C5" s="14" t="inlineStr">
        <is>
          <t>Ahrefs — backlinks</t>
        </is>
      </c>
      <c r="D5" s="14" t="inlineStr">
        <is>
          <t>Ahrefs — referring domains</t>
        </is>
      </c>
      <c r="E5" s="14" t="inlineStr">
        <is>
          <t>GA4 — engagement %</t>
        </is>
      </c>
      <c r="F5" s="14" t="inlineStr">
        <is>
          <t>GA4 — key events</t>
        </is>
      </c>
      <c r="G5" s="14" t="inlineStr">
        <is>
          <t>GA4 — sessions</t>
        </is>
      </c>
      <c r="H5" s="14" t="inlineStr">
        <is>
          <t>GA4 — users</t>
        </is>
      </c>
      <c r="I5" s="14" t="inlineStr">
        <is>
          <t>GSC — clicks</t>
        </is>
      </c>
      <c r="J5" s="14" t="inlineStr">
        <is>
          <t>GSC — CTR %</t>
        </is>
      </c>
      <c r="K5" s="14" t="inlineStr">
        <is>
          <t>GSC — impressions</t>
        </is>
      </c>
      <c r="L5" s="14" t="inlineStr">
        <is>
          <t>GSC — vị trí TB</t>
        </is>
      </c>
      <c r="M5" s="14" t="inlineStr">
        <is>
          <t>GSC — số truy vấn</t>
        </is>
      </c>
      <c r="N5" s="14" t="inlineStr">
        <is>
          <t>Sitemap — số URL</t>
        </is>
      </c>
      <c r="O5" s="14" t="inlineStr">
        <is>
          <t>TTFB trung bình (ms)</t>
        </is>
      </c>
    </row>
    <row r="6">
      <c r="A6" s="15" t="n">
        <v>46203</v>
      </c>
      <c r="B6" s="16" t="n"/>
      <c r="C6" s="16" t="n"/>
      <c r="D6" s="16" t="n">
        <v>244</v>
      </c>
      <c r="E6" s="19" t="n">
        <v>18.9</v>
      </c>
      <c r="F6" s="16" t="n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 t="n"/>
      <c r="N6" s="16" t="n"/>
      <c r="O6" s="16" t="n"/>
    </row>
    <row r="7">
      <c r="A7" s="15" t="n">
        <v>46230</v>
      </c>
      <c r="B7" s="16" t="n"/>
      <c r="C7" s="16" t="n"/>
      <c r="D7" s="16" t="n">
        <v>244</v>
      </c>
      <c r="E7" s="19" t="n">
        <v>61.5</v>
      </c>
      <c r="F7" s="16" t="n">
        <v>42</v>
      </c>
      <c r="G7" s="16" t="n">
        <v>442</v>
      </c>
      <c r="H7" s="16" t="n"/>
      <c r="I7" s="16" t="n">
        <v>65</v>
      </c>
      <c r="J7" s="19" t="n">
        <v>7.2</v>
      </c>
      <c r="K7" s="16" t="n">
        <v>900</v>
      </c>
      <c r="L7" s="19" t="n">
        <v>23.2</v>
      </c>
      <c r="M7" s="16" t="n"/>
      <c r="N7" s="16" t="n"/>
      <c r="O7" s="16" t="n"/>
    </row>
    <row r="8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 t="n"/>
      <c r="I8" s="16" t="n">
        <v>65</v>
      </c>
      <c r="J8" s="16" t="n">
        <v>7</v>
      </c>
      <c r="K8" s="16" t="n">
        <v>934</v>
      </c>
      <c r="L8" s="19" t="n">
        <v>23.7</v>
      </c>
      <c r="M8" s="16" t="n"/>
      <c r="N8" s="16" t="n"/>
      <c r="O8" s="16" t="n"/>
    </row>
    <row r="9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64.09999999999999</v>
      </c>
      <c r="F9" s="16" t="n">
        <v>42</v>
      </c>
      <c r="G9" s="16" t="n">
        <v>421</v>
      </c>
      <c r="H9" s="16" t="n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 t="n"/>
      <c r="O9" s="16" t="n"/>
    </row>
    <row r="10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64.09999999999999</v>
      </c>
      <c r="F10" s="16" t="n">
        <v>42</v>
      </c>
      <c r="G10" s="16" t="n">
        <v>421</v>
      </c>
      <c r="H10" s="16" t="n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 t="n"/>
      <c r="O10" s="16" t="n"/>
    </row>
    <row r="11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 t="n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 t="n"/>
      <c r="O11" s="16" t="n"/>
    </row>
    <row r="12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 t="n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 t="n"/>
      <c r="O12" s="16" t="n"/>
    </row>
    <row r="13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67.59999999999999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 t="n"/>
    </row>
    <row r="14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 t="n"/>
    </row>
    <row r="15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65.04000000000001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 t="n"/>
    </row>
    <row r="16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 t="n"/>
    </row>
    <row r="17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 t="n"/>
    </row>
    <row r="18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67.81999999999999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 t="n"/>
    </row>
    <row r="19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 t="n"/>
    </row>
    <row r="20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 t="n"/>
    </row>
    <row r="21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 t="n"/>
      <c r="J21" s="16" t="n"/>
      <c r="K21" s="16" t="n"/>
      <c r="L21" s="16" t="n"/>
      <c r="M21" s="16" t="n"/>
      <c r="N21" s="16" t="n">
        <v>81</v>
      </c>
      <c r="O21" s="16" t="n"/>
    </row>
    <row r="22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 t="n"/>
    </row>
    <row r="23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 t="n"/>
    </row>
    <row r="24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 t="n"/>
    </row>
    <row r="25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 t="n"/>
    </row>
    <row r="26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 t="n"/>
    </row>
    <row r="27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 t="n"/>
    </row>
    <row r="28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>
      <c r="A55" s="15" t="n">
        <v>46296</v>
      </c>
      <c r="B55" s="16" t="n">
        <v>18</v>
      </c>
      <c r="C55" s="16" t="n">
        <v>918</v>
      </c>
      <c r="D55" s="16" t="n">
        <v>882</v>
      </c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>
        <v>119</v>
      </c>
      <c r="O55" s="16" t="n">
        <v>331</v>
      </c>
    </row>
    <row r="56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  <row r="57">
      <c r="A57" s="15" t="n">
        <v>46298</v>
      </c>
      <c r="B57" s="16" t="n">
        <v>16</v>
      </c>
      <c r="C57" s="16" t="n">
        <v>918</v>
      </c>
      <c r="D57" s="16" t="n">
        <v>882</v>
      </c>
      <c r="E57" s="19" t="n">
        <v>35.45</v>
      </c>
      <c r="F57" s="16" t="n">
        <v>7</v>
      </c>
      <c r="G57" s="16" t="n">
        <v>584</v>
      </c>
      <c r="H57" s="16" t="n">
        <v>402</v>
      </c>
      <c r="I57" s="16" t="n">
        <v>28</v>
      </c>
      <c r="J57" s="16" t="n">
        <v>3</v>
      </c>
      <c r="K57" s="16" t="n">
        <v>923</v>
      </c>
      <c r="L57" s="19" t="n">
        <v>22.6</v>
      </c>
      <c r="M57" s="16" t="n">
        <v>86</v>
      </c>
      <c r="N57" s="16" t="n">
        <v>119</v>
      </c>
      <c r="O57" s="19" t="n">
        <v>326.9</v>
      </c>
    </row>
    <row r="58">
      <c r="A58" s="15" t="n">
        <v>46300</v>
      </c>
      <c r="B58" s="16" t="n">
        <v>14</v>
      </c>
      <c r="C58" s="16" t="n">
        <v>918</v>
      </c>
      <c r="D58" s="16" t="n">
        <v>882</v>
      </c>
      <c r="E58" s="19" t="n">
        <v>35.18</v>
      </c>
      <c r="F58" s="16" t="n">
        <v>7</v>
      </c>
      <c r="G58" s="16" t="n">
        <v>597</v>
      </c>
      <c r="H58" s="16" t="n">
        <v>414</v>
      </c>
      <c r="I58" s="16" t="n">
        <v>22</v>
      </c>
      <c r="J58" s="19" t="n">
        <v>2.8</v>
      </c>
      <c r="K58" s="16" t="n">
        <v>778</v>
      </c>
      <c r="L58" s="19" t="n">
        <v>19.3</v>
      </c>
      <c r="M58" s="16" t="n">
        <v>83</v>
      </c>
      <c r="N58" s="16" t="n">
        <v>119</v>
      </c>
      <c r="O58" s="16" t="n">
        <v>326</v>
      </c>
    </row>
    <row r="59">
      <c r="A59" s="15" t="n">
        <v>46301</v>
      </c>
      <c r="B59" s="16" t="n">
        <v>13</v>
      </c>
      <c r="C59" s="16" t="n">
        <v>918</v>
      </c>
      <c r="D59" s="16" t="n">
        <v>882</v>
      </c>
      <c r="E59" s="19" t="n">
        <v>34.22</v>
      </c>
      <c r="F59" s="16" t="n">
        <v>7</v>
      </c>
      <c r="G59" s="16" t="n">
        <v>599</v>
      </c>
      <c r="H59" s="16" t="n">
        <v>417</v>
      </c>
      <c r="I59" s="16" t="n">
        <v>22</v>
      </c>
      <c r="J59" s="19" t="n">
        <v>2.9</v>
      </c>
      <c r="K59" s="16" t="n">
        <v>763</v>
      </c>
      <c r="L59" s="19" t="n">
        <v>19.6</v>
      </c>
      <c r="M59" s="16" t="n">
        <v>83</v>
      </c>
      <c r="N59" s="16" t="n">
        <v>119</v>
      </c>
      <c r="O59" s="16" t="n">
        <v>333</v>
      </c>
    </row>
    <row r="60">
      <c r="A60" s="15" t="n">
        <v>46302</v>
      </c>
      <c r="B60" s="16" t="n">
        <v>13</v>
      </c>
      <c r="C60" s="16" t="n">
        <v>918</v>
      </c>
      <c r="D60" s="16" t="n">
        <v>882</v>
      </c>
      <c r="E60" s="19" t="n">
        <v>32.17</v>
      </c>
      <c r="F60" s="16" t="n">
        <v>7</v>
      </c>
      <c r="G60" s="16" t="n">
        <v>600</v>
      </c>
      <c r="H60" s="16" t="n">
        <v>421</v>
      </c>
      <c r="I60" s="16" t="n">
        <v>22</v>
      </c>
      <c r="J60" s="19" t="n">
        <v>2.9</v>
      </c>
      <c r="K60" s="16" t="n">
        <v>748</v>
      </c>
      <c r="L60" s="19" t="n">
        <v>19.1</v>
      </c>
      <c r="M60" s="16" t="n">
        <v>82</v>
      </c>
      <c r="N60" s="16" t="n">
        <v>119</v>
      </c>
      <c r="O60" s="16" t="n">
        <v>338</v>
      </c>
    </row>
    <row r="61">
      <c r="A61" s="15" t="n">
        <v>46303</v>
      </c>
      <c r="B61" s="16" t="n">
        <v>12</v>
      </c>
      <c r="C61" s="16" t="n">
        <v>917</v>
      </c>
      <c r="D61" s="16" t="n">
        <v>881</v>
      </c>
      <c r="E61" s="19" t="n">
        <v>31.01</v>
      </c>
      <c r="F61" s="16" t="n">
        <v>7</v>
      </c>
      <c r="G61" s="16" t="n">
        <v>616</v>
      </c>
      <c r="H61" s="16" t="n">
        <v>432</v>
      </c>
      <c r="I61" s="16" t="n">
        <v>22</v>
      </c>
      <c r="J61" s="19" t="n">
        <v>2.9</v>
      </c>
      <c r="K61" s="16" t="n">
        <v>748</v>
      </c>
      <c r="L61" s="19" t="n">
        <v>19.1</v>
      </c>
      <c r="M61" s="16" t="n">
        <v>82</v>
      </c>
      <c r="N61" s="16" t="n">
        <v>119</v>
      </c>
      <c r="O61" s="16" t="n">
        <v>308</v>
      </c>
    </row>
    <row r="62">
      <c r="A62" s="15" t="n">
        <v>46304</v>
      </c>
      <c r="B62" s="16" t="n">
        <v>12</v>
      </c>
      <c r="C62" s="16" t="n">
        <v>917</v>
      </c>
      <c r="D62" s="16" t="n">
        <v>881</v>
      </c>
      <c r="E62" s="19" t="n">
        <v>34.02</v>
      </c>
      <c r="F62" s="16" t="n">
        <v>7</v>
      </c>
      <c r="G62" s="16" t="n">
        <v>635</v>
      </c>
      <c r="H62" s="16" t="n">
        <v>440</v>
      </c>
      <c r="I62" s="16" t="n">
        <v>19</v>
      </c>
      <c r="J62" s="19" t="n">
        <v>2.8</v>
      </c>
      <c r="K62" s="16" t="n">
        <v>673</v>
      </c>
      <c r="L62" s="19" t="n">
        <v>14.6</v>
      </c>
      <c r="M62" s="16" t="n">
        <v>78</v>
      </c>
      <c r="N62" s="16" t="n">
        <v>119</v>
      </c>
      <c r="O62" s="16" t="n">
        <v>327</v>
      </c>
    </row>
    <row r="63">
      <c r="A63" s="15" t="n">
        <v>46307</v>
      </c>
      <c r="B63" s="16" t="n">
        <v>13</v>
      </c>
      <c r="C63" s="16" t="n">
        <v>917</v>
      </c>
      <c r="D63" s="16" t="n">
        <v>881</v>
      </c>
      <c r="E63" s="19" t="n">
        <v>34.78</v>
      </c>
      <c r="F63" s="16" t="n">
        <v>7</v>
      </c>
      <c r="G63" s="16" t="n">
        <v>644</v>
      </c>
      <c r="H63" s="16" t="n">
        <v>437</v>
      </c>
      <c r="I63" s="16" t="n">
        <v>22</v>
      </c>
      <c r="J63" s="19" t="n">
        <v>3.3</v>
      </c>
      <c r="K63" s="16" t="n">
        <v>673</v>
      </c>
      <c r="L63" s="16" t="n">
        <v>12</v>
      </c>
      <c r="M63" s="16" t="n">
        <v>69</v>
      </c>
      <c r="N63" s="16" t="n">
        <v>119</v>
      </c>
      <c r="O63" s="16" t="n">
        <v>313</v>
      </c>
    </row>
    <row r="64">
      <c r="A64" s="15" t="n">
        <v>46308</v>
      </c>
      <c r="B64" s="16" t="n">
        <v>14</v>
      </c>
      <c r="C64" s="16" t="n">
        <v>917</v>
      </c>
      <c r="D64" s="16" t="n">
        <v>881</v>
      </c>
      <c r="E64" s="19" t="n">
        <v>35.91</v>
      </c>
      <c r="F64" s="16" t="n">
        <v>7</v>
      </c>
      <c r="G64" s="16" t="n">
        <v>660</v>
      </c>
      <c r="H64" s="16" t="n">
        <v>443</v>
      </c>
      <c r="I64" s="16" t="n">
        <v>24</v>
      </c>
      <c r="J64" s="19" t="n">
        <v>3.6</v>
      </c>
      <c r="K64" s="16" t="n">
        <v>673</v>
      </c>
      <c r="L64" s="16" t="n">
        <v>12</v>
      </c>
      <c r="M64" s="16" t="n">
        <v>68</v>
      </c>
      <c r="N64" s="16" t="n">
        <v>119</v>
      </c>
      <c r="O64" s="16" t="n">
        <v>316</v>
      </c>
    </row>
    <row r="65">
      <c r="A65" s="15" t="n">
        <v>46309</v>
      </c>
      <c r="B65" s="16" t="n">
        <v>14</v>
      </c>
      <c r="C65" s="16" t="n">
        <v>915</v>
      </c>
      <c r="D65" s="16" t="n">
        <v>879</v>
      </c>
      <c r="E65" s="19" t="n">
        <v>36.76</v>
      </c>
      <c r="F65" s="16" t="n">
        <v>7</v>
      </c>
      <c r="G65" s="16" t="n">
        <v>672</v>
      </c>
      <c r="H65" s="16" t="n">
        <v>448</v>
      </c>
      <c r="I65" s="16" t="n">
        <v>23</v>
      </c>
      <c r="J65" s="19" t="n">
        <v>3.4</v>
      </c>
      <c r="K65" s="16" t="n">
        <v>672</v>
      </c>
      <c r="L65" s="19" t="n">
        <v>12.1</v>
      </c>
      <c r="M65" s="16" t="n">
        <v>67</v>
      </c>
      <c r="N65" s="16" t="n">
        <v>119</v>
      </c>
      <c r="O65" s="16" t="n">
        <v>317</v>
      </c>
    </row>
    <row r="66">
      <c r="A66" s="15" t="n">
        <v>46310</v>
      </c>
      <c r="B66" s="16" t="n">
        <v>14</v>
      </c>
      <c r="C66" s="16" t="n">
        <v>913</v>
      </c>
      <c r="D66" s="16" t="n">
        <v>877</v>
      </c>
      <c r="E66" s="19" t="n">
        <v>37.77</v>
      </c>
      <c r="F66" s="16" t="n">
        <v>9</v>
      </c>
      <c r="G66" s="16" t="n">
        <v>683</v>
      </c>
      <c r="H66" s="16" t="n">
        <v>454</v>
      </c>
      <c r="I66" s="16" t="n">
        <v>25</v>
      </c>
      <c r="J66" s="19" t="n">
        <v>3.4</v>
      </c>
      <c r="K66" s="16" t="n">
        <v>730</v>
      </c>
      <c r="L66" s="19" t="n">
        <v>12.3</v>
      </c>
      <c r="M66" s="16" t="n">
        <v>76</v>
      </c>
      <c r="N66" s="16" t="n">
        <v>119</v>
      </c>
      <c r="O66" s="16" t="n">
        <v>325</v>
      </c>
    </row>
    <row r="67">
      <c r="A67" s="15" t="n">
        <v>46311</v>
      </c>
      <c r="B67" s="16" t="n">
        <v>15</v>
      </c>
      <c r="C67" s="16" t="n">
        <v>912</v>
      </c>
      <c r="D67" s="16" t="n">
        <v>876</v>
      </c>
      <c r="E67" s="19" t="n">
        <v>37.82</v>
      </c>
      <c r="F67" s="16" t="n">
        <v>9</v>
      </c>
      <c r="G67" s="16" t="n">
        <v>706</v>
      </c>
      <c r="H67" s="16" t="n">
        <v>461</v>
      </c>
      <c r="I67" s="16" t="n">
        <v>25</v>
      </c>
      <c r="J67" s="19" t="n">
        <v>3.5</v>
      </c>
      <c r="K67" s="16" t="n">
        <v>707</v>
      </c>
      <c r="L67" s="19" t="n">
        <v>12.1</v>
      </c>
      <c r="M67" s="16" t="n">
        <v>75</v>
      </c>
      <c r="N67" s="16" t="n">
        <v>119</v>
      </c>
      <c r="O67" s="16" t="n">
        <v>335</v>
      </c>
    </row>
    <row r="68">
      <c r="A68" s="15" t="n">
        <v>46313</v>
      </c>
      <c r="B68" s="16" t="n">
        <v>17</v>
      </c>
      <c r="C68" s="16" t="n">
        <v>912</v>
      </c>
      <c r="D68" s="16" t="n">
        <v>876</v>
      </c>
      <c r="E68" s="19" t="n">
        <v>39.18</v>
      </c>
      <c r="F68" s="16" t="n">
        <v>9</v>
      </c>
      <c r="G68" s="16" t="n">
        <v>679</v>
      </c>
      <c r="H68" s="16" t="n">
        <v>433</v>
      </c>
      <c r="I68" s="16" t="n">
        <v>26</v>
      </c>
      <c r="J68" s="19" t="n">
        <v>3.2</v>
      </c>
      <c r="K68" s="16" t="n">
        <v>816</v>
      </c>
      <c r="L68" s="19" t="n">
        <v>15.2</v>
      </c>
      <c r="M68" s="16" t="n">
        <v>83</v>
      </c>
      <c r="N68" s="16" t="n">
        <v>119</v>
      </c>
      <c r="O68" s="16" t="n">
        <v>325</v>
      </c>
    </row>
    <row r="69">
      <c r="A69" s="15" t="n">
        <v>46315</v>
      </c>
      <c r="B69" s="16" t="n">
        <v>18</v>
      </c>
      <c r="C69" s="16" t="n">
        <v>912</v>
      </c>
      <c r="D69" s="16" t="n">
        <v>876</v>
      </c>
      <c r="E69" s="19" t="n">
        <v>40.27</v>
      </c>
      <c r="F69" s="16" t="n">
        <v>9</v>
      </c>
      <c r="G69" s="16" t="n">
        <v>673</v>
      </c>
      <c r="H69" s="16" t="n">
        <v>425</v>
      </c>
      <c r="I69" s="16" t="n">
        <v>26</v>
      </c>
      <c r="J69" s="19" t="n">
        <v>2.7</v>
      </c>
      <c r="K69" s="16" t="n">
        <v>951</v>
      </c>
      <c r="L69" s="19" t="n">
        <v>17.6</v>
      </c>
      <c r="M69" s="16" t="n">
        <v>90</v>
      </c>
      <c r="N69" s="16" t="n">
        <v>119</v>
      </c>
      <c r="O69" s="16" t="n">
        <v>302</v>
      </c>
    </row>
    <row r="70">
      <c r="A70" s="15" t="n">
        <v>46316</v>
      </c>
      <c r="B70" s="16" t="n">
        <v>19</v>
      </c>
      <c r="C70" s="16" t="n">
        <v>911</v>
      </c>
      <c r="D70" s="16" t="n">
        <v>875</v>
      </c>
      <c r="E70" s="19" t="n">
        <v>40.36</v>
      </c>
      <c r="F70" s="16" t="n">
        <v>9</v>
      </c>
      <c r="G70" s="16" t="n">
        <v>669</v>
      </c>
      <c r="H70" s="16" t="n">
        <v>419</v>
      </c>
      <c r="I70" s="16" t="n">
        <v>28</v>
      </c>
      <c r="J70" s="19" t="n">
        <v>2.8</v>
      </c>
      <c r="K70" s="16" t="n">
        <v>1017</v>
      </c>
      <c r="L70" s="19" t="n">
        <v>19.1</v>
      </c>
      <c r="M70" s="16" t="n">
        <v>110</v>
      </c>
      <c r="N70" s="16" t="n">
        <v>119</v>
      </c>
      <c r="O70" s="16" t="n">
        <v>308</v>
      </c>
    </row>
    <row r="71">
      <c r="A71" s="15" t="n">
        <v>46317</v>
      </c>
      <c r="B71" s="16" t="n">
        <v>21</v>
      </c>
      <c r="C71" s="16" t="n">
        <v>911</v>
      </c>
      <c r="D71" s="16" t="n">
        <v>875</v>
      </c>
      <c r="E71" s="19" t="n">
        <v>39.58</v>
      </c>
      <c r="F71" s="16" t="n">
        <v>8</v>
      </c>
      <c r="G71" s="16" t="n">
        <v>672</v>
      </c>
      <c r="H71" s="16" t="n">
        <v>422</v>
      </c>
      <c r="I71" s="16" t="n">
        <v>29</v>
      </c>
      <c r="J71" s="19" t="n">
        <v>2.5</v>
      </c>
      <c r="K71" s="16" t="n">
        <v>1174</v>
      </c>
      <c r="L71" s="19" t="n">
        <v>18.3</v>
      </c>
      <c r="M71" s="16" t="n">
        <v>114</v>
      </c>
      <c r="N71" s="16" t="n">
        <v>119</v>
      </c>
      <c r="O71" s="19" t="n">
        <v>311.2</v>
      </c>
    </row>
    <row r="72">
      <c r="A72" s="15" t="n">
        <v>46318</v>
      </c>
      <c r="B72" s="16" t="n">
        <v>22</v>
      </c>
      <c r="C72" s="16" t="n">
        <v>910</v>
      </c>
      <c r="D72" s="16" t="n">
        <v>874</v>
      </c>
      <c r="E72" s="19" t="n">
        <v>39.67</v>
      </c>
      <c r="F72" s="16" t="n">
        <v>6</v>
      </c>
      <c r="G72" s="16" t="n">
        <v>668</v>
      </c>
      <c r="H72" s="16" t="n">
        <v>417</v>
      </c>
      <c r="I72" s="16" t="n">
        <v>28</v>
      </c>
      <c r="J72" s="19" t="n">
        <v>2.3</v>
      </c>
      <c r="K72" s="16" t="n">
        <v>1231</v>
      </c>
      <c r="L72" s="19" t="n">
        <v>19.2</v>
      </c>
      <c r="M72" s="16" t="n">
        <v>122</v>
      </c>
      <c r="N72" s="16" t="n">
        <v>119</v>
      </c>
      <c r="O72" s="19" t="n">
        <v>310.4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Audit</t>
        </is>
      </c>
    </row>
    <row r="2">
      <c r="A2" s="2" t="inlineStr">
        <is>
          <t>Mỗi dòng là một lần crawl tại thời điểm. Điểm số và tốc độ — KHÔNG cộng dồn.</t>
        </is>
      </c>
    </row>
    <row r="3">
      <c r="A3" s="2" t="inlineStr">
        <is>
          <t>Nguồn: Audit/data/rollup.json · 64 ngày · 11 chỉ số</t>
        </is>
      </c>
    </row>
    <row r="4">
      <c r="A4" s="2" t="inlineStr">
        <is>
          <t>grain →</t>
        </is>
      </c>
      <c r="B4" s="17" t="inlineStr">
        <is>
          <t>state</t>
        </is>
      </c>
      <c r="C4" s="17" t="inlineStr">
        <is>
          <t>state</t>
        </is>
      </c>
      <c r="D4" s="17" t="inlineStr">
        <is>
          <t>state</t>
        </is>
      </c>
      <c r="E4" s="17" t="inlineStr">
        <is>
          <t>state</t>
        </is>
      </c>
      <c r="F4" s="17" t="inlineStr">
        <is>
          <t>state</t>
        </is>
      </c>
      <c r="G4" s="17" t="inlineStr">
        <is>
          <t>state</t>
        </is>
      </c>
      <c r="H4" s="17" t="inlineStr">
        <is>
          <t>state</t>
        </is>
      </c>
      <c r="I4" s="17" t="inlineStr">
        <is>
          <t>state</t>
        </is>
      </c>
      <c r="J4" s="17" t="inlineStr">
        <is>
          <t>state</t>
        </is>
      </c>
      <c r="K4" s="17" t="inlineStr">
        <is>
          <t>state</t>
        </is>
      </c>
      <c r="L4" s="17" t="inlineStr">
        <is>
          <t>state</t>
        </is>
      </c>
    </row>
    <row r="5">
      <c r="A5" s="13" t="inlineStr">
        <is>
          <t>Ngày</t>
        </is>
      </c>
      <c r="B5" s="14" t="inlineStr">
        <is>
          <t>Content</t>
        </is>
      </c>
      <c r="C5" s="14" t="inlineStr">
        <is>
          <t>Crawlability</t>
        </is>
      </c>
      <c r="D5" s="14" t="inlineStr">
        <is>
          <t>Health score</t>
        </is>
      </c>
      <c r="E5" s="14" t="inlineStr">
        <is>
          <t>On-page / Meta</t>
        </is>
      </c>
      <c r="F5" s="14" t="inlineStr">
        <is>
          <t>Số trang crawl</t>
        </is>
      </c>
      <c r="G5" s="14" t="inlineStr">
        <is>
          <t>Performance / TTFB</t>
        </is>
      </c>
      <c r="H5" s="14" t="inlineStr">
        <is>
          <t>Sitemap — số URL</t>
        </is>
      </c>
      <c r="I5" s="14" t="inlineStr">
        <is>
          <t>Structured data</t>
        </is>
      </c>
      <c r="J5" s="14" t="inlineStr">
        <is>
          <t>TTFB trung bình (ms)</t>
        </is>
      </c>
      <c r="K5" s="14" t="inlineStr">
        <is>
          <t>TTFB trung vị (ms)</t>
        </is>
      </c>
      <c r="L5" s="14" t="inlineStr">
        <is>
          <t>Tổng số từ</t>
        </is>
      </c>
    </row>
    <row r="6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 t="n"/>
      <c r="K6" s="16" t="n"/>
      <c r="L6" s="16" t="n"/>
    </row>
    <row r="7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 t="n"/>
      <c r="K7" s="16" t="n"/>
      <c r="L7" s="16" t="n"/>
    </row>
    <row r="8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 t="n"/>
      <c r="K8" s="16" t="n"/>
      <c r="L8" s="16" t="n"/>
    </row>
    <row r="9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 t="n"/>
      <c r="K9" s="16" t="n"/>
      <c r="L9" s="16" t="n"/>
    </row>
    <row r="10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 t="n"/>
      <c r="K10" s="16" t="n"/>
      <c r="L10" s="16" t="n"/>
    </row>
    <row r="11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 t="n"/>
      <c r="K11" s="16" t="n"/>
      <c r="L11" s="16" t="n"/>
    </row>
    <row r="12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 t="n"/>
      <c r="K12" s="16" t="n"/>
      <c r="L12" s="16" t="n"/>
    </row>
    <row r="13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 t="n"/>
      <c r="K13" s="16" t="n"/>
      <c r="L13" s="16" t="n"/>
    </row>
    <row r="14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 t="n"/>
      <c r="K14" s="16" t="n"/>
      <c r="L14" s="16" t="n"/>
    </row>
    <row r="15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 t="n"/>
      <c r="K15" s="16" t="n"/>
      <c r="L15" s="16" t="n"/>
    </row>
    <row r="16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 t="n"/>
      <c r="K16" s="16" t="n"/>
      <c r="L16" s="16" t="n"/>
    </row>
    <row r="17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 t="n"/>
      <c r="L17" s="16" t="n"/>
    </row>
    <row r="18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 t="n"/>
      <c r="L18" s="16" t="n"/>
    </row>
    <row r="19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 t="n"/>
      <c r="L19" s="16" t="n"/>
    </row>
    <row r="20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 t="n"/>
      <c r="L20" s="16" t="n"/>
    </row>
    <row r="21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 t="n"/>
      <c r="L21" s="16" t="n"/>
    </row>
    <row r="22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 t="n"/>
      <c r="L22" s="16" t="n"/>
    </row>
    <row r="23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 t="n"/>
      <c r="L23" s="16" t="n"/>
    </row>
    <row r="24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 t="n"/>
      <c r="L24" s="16" t="n"/>
    </row>
    <row r="25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 t="n"/>
      <c r="L25" s="16" t="n"/>
    </row>
    <row r="26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 t="n"/>
      <c r="L26" s="16" t="n"/>
    </row>
    <row r="27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 t="n"/>
      <c r="L27" s="16" t="n"/>
    </row>
    <row r="28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 t="n"/>
      <c r="L28" s="16" t="n"/>
    </row>
    <row r="29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 t="n"/>
      <c r="L29" s="16" t="n"/>
    </row>
    <row r="30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 t="n"/>
      <c r="L30" s="16" t="n"/>
    </row>
    <row r="31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 t="n"/>
      <c r="G31" s="16" t="n">
        <v>85</v>
      </c>
      <c r="H31" s="16" t="n"/>
      <c r="I31" s="16" t="n">
        <v>96</v>
      </c>
      <c r="J31" s="16" t="n">
        <v>932</v>
      </c>
      <c r="K31" s="16" t="n"/>
      <c r="L31" s="16" t="n">
        <v>204862</v>
      </c>
    </row>
    <row r="32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 t="n"/>
      <c r="I32" s="16" t="n">
        <v>96</v>
      </c>
      <c r="J32" s="16" t="n">
        <v>785</v>
      </c>
      <c r="K32" s="16" t="n"/>
      <c r="L32" s="16" t="n">
        <v>210673</v>
      </c>
    </row>
    <row r="33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 t="n"/>
      <c r="I33" s="16" t="n">
        <v>95</v>
      </c>
      <c r="J33" s="16" t="n">
        <v>877</v>
      </c>
      <c r="K33" s="16" t="n"/>
      <c r="L33" s="16" t="n">
        <v>213007</v>
      </c>
    </row>
    <row r="34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 t="n"/>
      <c r="I34" s="16" t="n">
        <v>94</v>
      </c>
      <c r="J34" s="16" t="n">
        <v>833</v>
      </c>
      <c r="K34" s="16" t="n">
        <v>738</v>
      </c>
      <c r="L34" s="16" t="n">
        <v>215236</v>
      </c>
    </row>
    <row r="35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>
      <c r="A53" s="15" t="n">
        <v>46297</v>
      </c>
      <c r="B53" s="16" t="n">
        <v>93</v>
      </c>
      <c r="C53" s="16" t="n">
        <v>99</v>
      </c>
      <c r="D53" s="16" t="n">
        <v>96</v>
      </c>
      <c r="E53" s="16" t="n">
        <v>94</v>
      </c>
      <c r="F53" s="16" t="n">
        <v>118</v>
      </c>
      <c r="G53" s="16" t="n">
        <v>96</v>
      </c>
      <c r="H53" s="16" t="n">
        <v>119</v>
      </c>
      <c r="I53" s="16" t="n">
        <v>98</v>
      </c>
      <c r="J53" s="16" t="n">
        <v>564</v>
      </c>
      <c r="K53" s="16" t="n">
        <v>505</v>
      </c>
      <c r="L53" s="16" t="n">
        <v>241675</v>
      </c>
    </row>
    <row r="54">
      <c r="A54" s="15" t="n">
        <v>46298</v>
      </c>
      <c r="B54" s="16" t="n">
        <v>93</v>
      </c>
      <c r="C54" s="16" t="n">
        <v>98</v>
      </c>
      <c r="D54" s="16" t="n">
        <v>97</v>
      </c>
      <c r="E54" s="16" t="n">
        <v>94</v>
      </c>
      <c r="F54" s="16" t="n">
        <v>118</v>
      </c>
      <c r="G54" s="16" t="n">
        <v>98</v>
      </c>
      <c r="H54" s="16" t="n">
        <v>119</v>
      </c>
      <c r="I54" s="16" t="n">
        <v>98</v>
      </c>
      <c r="J54" s="16" t="n">
        <v>327</v>
      </c>
      <c r="K54" s="19" t="n">
        <v>274.5</v>
      </c>
      <c r="L54" s="16" t="n">
        <v>241675</v>
      </c>
    </row>
    <row r="55">
      <c r="A55" s="15" t="n">
        <v>46300</v>
      </c>
      <c r="B55" s="16" t="n">
        <v>93</v>
      </c>
      <c r="C55" s="16" t="n">
        <v>98</v>
      </c>
      <c r="D55" s="16" t="n">
        <v>97</v>
      </c>
      <c r="E55" s="16" t="n">
        <v>94</v>
      </c>
      <c r="F55" s="16" t="n">
        <v>118</v>
      </c>
      <c r="G55" s="16" t="n">
        <v>98</v>
      </c>
      <c r="H55" s="16" t="n">
        <v>119</v>
      </c>
      <c r="I55" s="16" t="n">
        <v>98</v>
      </c>
      <c r="J55" s="16" t="n">
        <v>326</v>
      </c>
      <c r="K55" s="19" t="n">
        <v>271.5</v>
      </c>
      <c r="L55" s="16" t="n">
        <v>241675</v>
      </c>
    </row>
    <row r="56">
      <c r="A56" s="15" t="n">
        <v>46301</v>
      </c>
      <c r="B56" s="16" t="n">
        <v>93</v>
      </c>
      <c r="C56" s="16" t="n">
        <v>99</v>
      </c>
      <c r="D56" s="16" t="n">
        <v>97</v>
      </c>
      <c r="E56" s="16" t="n">
        <v>94</v>
      </c>
      <c r="F56" s="16" t="n">
        <v>118</v>
      </c>
      <c r="G56" s="16" t="n">
        <v>98</v>
      </c>
      <c r="H56" s="16" t="n">
        <v>119</v>
      </c>
      <c r="I56" s="16" t="n">
        <v>98</v>
      </c>
      <c r="J56" s="16" t="n">
        <v>333</v>
      </c>
      <c r="K56" s="19" t="n">
        <v>282.5</v>
      </c>
      <c r="L56" s="16" t="n">
        <v>241675</v>
      </c>
    </row>
    <row r="57">
      <c r="A57" s="15" t="n">
        <v>46302</v>
      </c>
      <c r="B57" s="16" t="n">
        <v>93</v>
      </c>
      <c r="C57" s="16" t="n">
        <v>98</v>
      </c>
      <c r="D57" s="16" t="n">
        <v>97</v>
      </c>
      <c r="E57" s="16" t="n">
        <v>94</v>
      </c>
      <c r="F57" s="16" t="n">
        <v>118</v>
      </c>
      <c r="G57" s="16" t="n">
        <v>98</v>
      </c>
      <c r="H57" s="16" t="n">
        <v>119</v>
      </c>
      <c r="I57" s="16" t="n">
        <v>98</v>
      </c>
      <c r="J57" s="16" t="n">
        <v>338</v>
      </c>
      <c r="K57" s="19" t="n">
        <v>277.5</v>
      </c>
      <c r="L57" s="16" t="n">
        <v>241675</v>
      </c>
    </row>
    <row r="58">
      <c r="A58" s="15" t="n">
        <v>46303</v>
      </c>
      <c r="B58" s="16" t="n">
        <v>93</v>
      </c>
      <c r="C58" s="16" t="n">
        <v>99</v>
      </c>
      <c r="D58" s="16" t="n">
        <v>97</v>
      </c>
      <c r="E58" s="16" t="n">
        <v>94</v>
      </c>
      <c r="F58" s="16" t="n">
        <v>118</v>
      </c>
      <c r="G58" s="16" t="n">
        <v>98</v>
      </c>
      <c r="H58" s="16" t="n">
        <v>119</v>
      </c>
      <c r="I58" s="16" t="n">
        <v>98</v>
      </c>
      <c r="J58" s="16" t="n">
        <v>308</v>
      </c>
      <c r="K58" s="19" t="n">
        <v>264.5</v>
      </c>
      <c r="L58" s="16" t="n">
        <v>241675</v>
      </c>
    </row>
    <row r="59">
      <c r="A59" s="15" t="n">
        <v>46304</v>
      </c>
      <c r="B59" s="16" t="n">
        <v>93</v>
      </c>
      <c r="C59" s="16" t="n">
        <v>98</v>
      </c>
      <c r="D59" s="16" t="n">
        <v>97</v>
      </c>
      <c r="E59" s="16" t="n">
        <v>94</v>
      </c>
      <c r="F59" s="16" t="n">
        <v>118</v>
      </c>
      <c r="G59" s="16" t="n">
        <v>98</v>
      </c>
      <c r="H59" s="16" t="n">
        <v>119</v>
      </c>
      <c r="I59" s="16" t="n">
        <v>98</v>
      </c>
      <c r="J59" s="16" t="n">
        <v>327</v>
      </c>
      <c r="K59" s="16" t="n">
        <v>270</v>
      </c>
      <c r="L59" s="16" t="n">
        <v>241675</v>
      </c>
    </row>
    <row r="60">
      <c r="A60" s="15" t="n">
        <v>46307</v>
      </c>
      <c r="B60" s="16" t="n">
        <v>93</v>
      </c>
      <c r="C60" s="16" t="n">
        <v>99</v>
      </c>
      <c r="D60" s="16" t="n">
        <v>97</v>
      </c>
      <c r="E60" s="16" t="n">
        <v>94</v>
      </c>
      <c r="F60" s="16" t="n">
        <v>118</v>
      </c>
      <c r="G60" s="16" t="n">
        <v>98</v>
      </c>
      <c r="H60" s="16" t="n">
        <v>119</v>
      </c>
      <c r="I60" s="16" t="n">
        <v>98</v>
      </c>
      <c r="J60" s="19" t="n">
        <v>313.2</v>
      </c>
      <c r="K60" s="19" t="n">
        <v>269.5</v>
      </c>
      <c r="L60" s="16" t="n">
        <v>241675</v>
      </c>
    </row>
    <row r="61">
      <c r="A61" s="15" t="n">
        <v>46308</v>
      </c>
      <c r="B61" s="16" t="n">
        <v>93</v>
      </c>
      <c r="C61" s="16" t="n">
        <v>98</v>
      </c>
      <c r="D61" s="16" t="n">
        <v>97</v>
      </c>
      <c r="E61" s="16" t="n">
        <v>94</v>
      </c>
      <c r="F61" s="16" t="n">
        <v>118</v>
      </c>
      <c r="G61" s="16" t="n">
        <v>98</v>
      </c>
      <c r="H61" s="16" t="n">
        <v>119</v>
      </c>
      <c r="I61" s="16" t="n">
        <v>98</v>
      </c>
      <c r="J61" s="19" t="n">
        <v>315.9</v>
      </c>
      <c r="K61" s="16" t="n">
        <v>261</v>
      </c>
      <c r="L61" s="16" t="n">
        <v>242620</v>
      </c>
    </row>
    <row r="62">
      <c r="A62" s="15" t="n">
        <v>46309</v>
      </c>
      <c r="B62" s="16" t="n">
        <v>93</v>
      </c>
      <c r="C62" s="16" t="n">
        <v>98</v>
      </c>
      <c r="D62" s="16" t="n">
        <v>97</v>
      </c>
      <c r="E62" s="16" t="n">
        <v>93</v>
      </c>
      <c r="F62" s="16" t="n">
        <v>118</v>
      </c>
      <c r="G62" s="16" t="n">
        <v>98</v>
      </c>
      <c r="H62" s="16" t="n">
        <v>119</v>
      </c>
      <c r="I62" s="16" t="n">
        <v>98</v>
      </c>
      <c r="J62" s="19" t="n">
        <v>317.4</v>
      </c>
      <c r="K62" s="19" t="n">
        <v>267.5</v>
      </c>
      <c r="L62" s="16" t="n">
        <v>241898</v>
      </c>
    </row>
    <row r="63">
      <c r="A63" s="15" t="n">
        <v>46310</v>
      </c>
      <c r="B63" s="16" t="n">
        <v>93</v>
      </c>
      <c r="C63" s="16" t="n">
        <v>98</v>
      </c>
      <c r="D63" s="16" t="n">
        <v>96</v>
      </c>
      <c r="E63" s="16" t="n">
        <v>93</v>
      </c>
      <c r="F63" s="16" t="n">
        <v>118</v>
      </c>
      <c r="G63" s="16" t="n">
        <v>97</v>
      </c>
      <c r="H63" s="16" t="n">
        <v>119</v>
      </c>
      <c r="I63" s="16" t="n">
        <v>98</v>
      </c>
      <c r="J63" s="19" t="n">
        <v>324.9</v>
      </c>
      <c r="K63" s="16" t="n">
        <v>269</v>
      </c>
      <c r="L63" s="16" t="n">
        <v>242263</v>
      </c>
    </row>
    <row r="64">
      <c r="A64" s="15" t="n">
        <v>46311</v>
      </c>
      <c r="B64" s="16" t="n">
        <v>93</v>
      </c>
      <c r="C64" s="16" t="n">
        <v>98</v>
      </c>
      <c r="D64" s="16" t="n">
        <v>96</v>
      </c>
      <c r="E64" s="16" t="n">
        <v>93</v>
      </c>
      <c r="F64" s="16" t="n">
        <v>118</v>
      </c>
      <c r="G64" s="16" t="n">
        <v>97</v>
      </c>
      <c r="H64" s="16" t="n">
        <v>119</v>
      </c>
      <c r="I64" s="16" t="n">
        <v>98</v>
      </c>
      <c r="J64" s="19" t="n">
        <v>335.3</v>
      </c>
      <c r="K64" s="16" t="n">
        <v>266</v>
      </c>
      <c r="L64" s="16" t="n">
        <v>242263</v>
      </c>
    </row>
    <row r="65">
      <c r="A65" s="15" t="n">
        <v>46313</v>
      </c>
      <c r="B65" s="16" t="n">
        <v>93</v>
      </c>
      <c r="C65" s="16" t="n">
        <v>98</v>
      </c>
      <c r="D65" s="16" t="n">
        <v>97</v>
      </c>
      <c r="E65" s="16" t="n">
        <v>93</v>
      </c>
      <c r="F65" s="16" t="n">
        <v>118</v>
      </c>
      <c r="G65" s="16" t="n">
        <v>98</v>
      </c>
      <c r="H65" s="16" t="n">
        <v>119</v>
      </c>
      <c r="I65" s="16" t="n">
        <v>98</v>
      </c>
      <c r="J65" s="19" t="n">
        <v>324.9</v>
      </c>
      <c r="K65" s="19" t="n">
        <v>266.5</v>
      </c>
      <c r="L65" s="16" t="n">
        <v>242263</v>
      </c>
    </row>
    <row r="66">
      <c r="A66" s="15" t="n">
        <v>46315</v>
      </c>
      <c r="B66" s="16" t="n">
        <v>93</v>
      </c>
      <c r="C66" s="16" t="n">
        <v>98</v>
      </c>
      <c r="D66" s="16" t="n">
        <v>97</v>
      </c>
      <c r="E66" s="16" t="n">
        <v>93</v>
      </c>
      <c r="F66" s="16" t="n">
        <v>118</v>
      </c>
      <c r="G66" s="16" t="n">
        <v>98</v>
      </c>
      <c r="H66" s="16" t="n">
        <v>119</v>
      </c>
      <c r="I66" s="16" t="n">
        <v>98</v>
      </c>
      <c r="J66" s="19" t="n">
        <v>301.8</v>
      </c>
      <c r="K66" s="16" t="n">
        <v>247</v>
      </c>
      <c r="L66" s="16" t="n">
        <v>242263</v>
      </c>
    </row>
    <row r="67">
      <c r="A67" s="15" t="n">
        <v>46316</v>
      </c>
      <c r="B67" s="16" t="n">
        <v>93</v>
      </c>
      <c r="C67" s="16" t="n">
        <v>98</v>
      </c>
      <c r="D67" s="16" t="n">
        <v>97</v>
      </c>
      <c r="E67" s="16" t="n">
        <v>93</v>
      </c>
      <c r="F67" s="16" t="n">
        <v>118</v>
      </c>
      <c r="G67" s="16" t="n">
        <v>98</v>
      </c>
      <c r="H67" s="16" t="n">
        <v>119</v>
      </c>
      <c r="I67" s="16" t="n">
        <v>98</v>
      </c>
      <c r="J67" s="16" t="n">
        <v>308</v>
      </c>
      <c r="K67" s="16" t="n">
        <v>253</v>
      </c>
      <c r="L67" s="16" t="n">
        <v>242263</v>
      </c>
    </row>
    <row r="68">
      <c r="A68" s="15" t="n">
        <v>46317</v>
      </c>
      <c r="B68" s="16" t="n">
        <v>93</v>
      </c>
      <c r="C68" s="16" t="n">
        <v>98</v>
      </c>
      <c r="D68" s="16" t="n">
        <v>97</v>
      </c>
      <c r="E68" s="16" t="n">
        <v>93</v>
      </c>
      <c r="F68" s="16" t="n">
        <v>118</v>
      </c>
      <c r="G68" s="16" t="n">
        <v>98</v>
      </c>
      <c r="H68" s="16" t="n">
        <v>119</v>
      </c>
      <c r="I68" s="16" t="n">
        <v>98</v>
      </c>
      <c r="J68" s="19" t="n">
        <v>311.2</v>
      </c>
      <c r="K68" s="16" t="n">
        <v>255</v>
      </c>
      <c r="L68" s="16" t="n">
        <v>243021</v>
      </c>
    </row>
    <row r="69">
      <c r="A69" s="15" t="n">
        <v>46318</v>
      </c>
      <c r="B69" s="16" t="n">
        <v>93</v>
      </c>
      <c r="C69" s="16" t="n">
        <v>98</v>
      </c>
      <c r="D69" s="16" t="n">
        <v>97</v>
      </c>
      <c r="E69" s="16" t="n">
        <v>93</v>
      </c>
      <c r="F69" s="16" t="n">
        <v>118</v>
      </c>
      <c r="G69" s="16" t="n">
        <v>98</v>
      </c>
      <c r="H69" s="16" t="n">
        <v>119</v>
      </c>
      <c r="I69" s="16" t="n">
        <v>98</v>
      </c>
      <c r="J69" s="19" t="n">
        <v>310.4</v>
      </c>
      <c r="K69" s="16" t="n">
        <v>256</v>
      </c>
      <c r="L69" s="16" t="n">
        <v>243401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Tổng hợp theo tháng</t>
        </is>
      </c>
    </row>
    <row r="2">
      <c r="A2" s="2" t="inlineStr">
        <is>
          <t>Mọi ô dưới đây là CÔNG THỨC trỏ về các sheet dữ liệu — sửa dữ liệu thì số này tự đổi.</t>
        </is>
      </c>
    </row>
    <row r="3">
      <c r="A3" s="2" t="inlineStr">
        <is>
          <t>Chỉ chuỗi grain "day" mới được CỘNG (SUMIFS). window28 và state lấy GIÁ TRỊ NGÀY QUÉT CUỐI CÙNG của tháng (INDEX).</t>
        </is>
      </c>
    </row>
    <row r="5">
      <c r="A5" s="20" t="inlineStr">
        <is>
          <t>CỘNG ĐƯỢC — số theo ngày thật (Social)</t>
        </is>
      </c>
    </row>
    <row r="6">
      <c r="A6" s="13" t="inlineStr">
        <is>
          <t>Chỉ số</t>
        </is>
      </c>
      <c r="B6" s="21" t="inlineStr">
        <is>
          <t>2026-07</t>
        </is>
      </c>
      <c r="C6" s="21" t="inlineStr">
        <is>
          <t>2026-08</t>
        </is>
      </c>
      <c r="D6" s="21" t="inlineStr">
        <is>
          <t>2026-09</t>
        </is>
      </c>
      <c r="E6" s="21" t="inlineStr">
        <is>
          <t>2026-10</t>
        </is>
      </c>
    </row>
    <row r="7">
      <c r="A7" s="22" t="inlineStr">
        <is>
          <t>FB — tương tác/ngày</t>
        </is>
      </c>
      <c r="B7" s="16">
        <f>SUMIFS('Social — theo ngày'!B6:B114,'Social — theo ngày'!$A$6:$A$114,"&gt;="&amp;DATE(2026,7,1),'Social — theo ngày'!$A$6:$A$114,"&lt;="&amp;DATE(2026,7,31))</f>
        <v/>
      </c>
      <c r="C7" s="16">
        <f>SUMIFS('Social — theo ngày'!B6:B114,'Social — theo ngày'!$A$6:$A$114,"&gt;="&amp;DATE(2026,8,1),'Social — theo ngày'!$A$6:$A$114,"&lt;="&amp;DATE(2026,8,31))</f>
        <v/>
      </c>
      <c r="D7" s="16">
        <f>SUMIFS('Social — theo ngày'!B6:B114,'Social — theo ngày'!$A$6:$A$114,"&gt;="&amp;DATE(2026,9,1),'Social — theo ngày'!$A$6:$A$114,"&lt;="&amp;DATE(2026,9,30))</f>
        <v/>
      </c>
      <c r="E7" s="16">
        <f>SUMIFS('Social — theo ngày'!B6:B114,'Social — theo ngày'!$A$6:$A$114,"&gt;="&amp;DATE(2026,10,1),'Social — theo ngày'!$A$6:$A$114,"&lt;="&amp;DATE(2026,10,31))</f>
        <v/>
      </c>
    </row>
    <row r="8">
      <c r="A8" s="22" t="inlineStr">
        <is>
          <t>FB — view 3 giây/ngày</t>
        </is>
      </c>
      <c r="B8" s="16">
        <f>SUMIFS('Social — theo ngày'!C6:C114,'Social — theo ngày'!$A$6:$A$114,"&gt;="&amp;DATE(2026,7,1),'Social — theo ngày'!$A$6:$A$114,"&lt;="&amp;DATE(2026,7,31))</f>
        <v/>
      </c>
      <c r="C8" s="16">
        <f>SUMIFS('Social — theo ngày'!C6:C114,'Social — theo ngày'!$A$6:$A$114,"&gt;="&amp;DATE(2026,8,1),'Social — theo ngày'!$A$6:$A$114,"&lt;="&amp;DATE(2026,8,31))</f>
        <v/>
      </c>
      <c r="D8" s="16">
        <f>SUMIFS('Social — theo ngày'!C6:C114,'Social — theo ngày'!$A$6:$A$114,"&gt;="&amp;DATE(2026,9,1),'Social — theo ngày'!$A$6:$A$114,"&lt;="&amp;DATE(2026,9,30))</f>
        <v/>
      </c>
      <c r="E8" s="16">
        <f>SUMIFS('Social — theo ngày'!C6:C114,'Social — theo ngày'!$A$6:$A$114,"&gt;="&amp;DATE(2026,10,1),'Social — theo ngày'!$A$6:$A$114,"&lt;="&amp;DATE(2026,10,31))</f>
        <v/>
      </c>
    </row>
    <row r="9">
      <c r="A9" s="22" t="inlineStr">
        <is>
          <t>FB — views/ngày</t>
        </is>
      </c>
      <c r="B9" s="16">
        <f>SUMIFS('Social — theo ngày'!D6:D114,'Social — theo ngày'!$A$6:$A$114,"&gt;="&amp;DATE(2026,7,1),'Social — theo ngày'!$A$6:$A$114,"&lt;="&amp;DATE(2026,7,31))</f>
        <v/>
      </c>
      <c r="C9" s="16">
        <f>SUMIFS('Social — theo ngày'!D6:D114,'Social — theo ngày'!$A$6:$A$114,"&gt;="&amp;DATE(2026,8,1),'Social — theo ngày'!$A$6:$A$114,"&lt;="&amp;DATE(2026,8,31))</f>
        <v/>
      </c>
      <c r="D9" s="16">
        <f>SUMIFS('Social — theo ngày'!D6:D114,'Social — theo ngày'!$A$6:$A$114,"&gt;="&amp;DATE(2026,9,1),'Social — theo ngày'!$A$6:$A$114,"&lt;="&amp;DATE(2026,9,30))</f>
        <v/>
      </c>
      <c r="E9" s="16">
        <f>SUMIFS('Social — theo ngày'!D6:D114,'Social — theo ngày'!$A$6:$A$114,"&gt;="&amp;DATE(2026,10,1),'Social — theo ngày'!$A$6:$A$114,"&lt;="&amp;DATE(2026,10,31))</f>
        <v/>
      </c>
    </row>
    <row r="10">
      <c r="A10" s="22" t="inlineStr">
        <is>
          <t>FB — lượt ghé/ngày</t>
        </is>
      </c>
      <c r="B10" s="16">
        <f>SUMIFS('Social — theo ngày'!E6:E114,'Social — theo ngày'!$A$6:$A$114,"&gt;="&amp;DATE(2026,7,1),'Social — theo ngày'!$A$6:$A$114,"&lt;="&amp;DATE(2026,7,31))</f>
        <v/>
      </c>
      <c r="C10" s="16">
        <f>SUMIFS('Social — theo ngày'!E6:E114,'Social — theo ngày'!$A$6:$A$114,"&gt;="&amp;DATE(2026,8,1),'Social — theo ngày'!$A$6:$A$114,"&lt;="&amp;DATE(2026,8,31))</f>
        <v/>
      </c>
      <c r="D10" s="16">
        <f>SUMIFS('Social — theo ngày'!E6:E114,'Social — theo ngày'!$A$6:$A$114,"&gt;="&amp;DATE(2026,9,1),'Social — theo ngày'!$A$6:$A$114,"&lt;="&amp;DATE(2026,9,30))</f>
        <v/>
      </c>
      <c r="E10" s="16">
        <f>SUMIFS('Social — theo ngày'!E6:E114,'Social — theo ngày'!$A$6:$A$114,"&gt;="&amp;DATE(2026,10,1),'Social — theo ngày'!$A$6:$A$114,"&lt;="&amp;DATE(2026,10,31))</f>
        <v/>
      </c>
    </row>
    <row r="11">
      <c r="A11" s="22" t="inlineStr">
        <is>
          <t>IG — tương tác/ngày</t>
        </is>
      </c>
      <c r="B11" s="16">
        <f>SUMIFS('Social — theo ngày'!F6:F114,'Social — theo ngày'!$A$6:$A$114,"&gt;="&amp;DATE(2026,7,1),'Social — theo ngày'!$A$6:$A$114,"&lt;="&amp;DATE(2026,7,31))</f>
        <v/>
      </c>
      <c r="C11" s="16">
        <f>SUMIFS('Social — theo ngày'!F6:F114,'Social — theo ngày'!$A$6:$A$114,"&gt;="&amp;DATE(2026,8,1),'Social — theo ngày'!$A$6:$A$114,"&lt;="&amp;DATE(2026,8,31))</f>
        <v/>
      </c>
      <c r="D11" s="16">
        <f>SUMIFS('Social — theo ngày'!F6:F114,'Social — theo ngày'!$A$6:$A$114,"&gt;="&amp;DATE(2026,9,1),'Social — theo ngày'!$A$6:$A$114,"&lt;="&amp;DATE(2026,9,30))</f>
        <v/>
      </c>
      <c r="E11" s="16">
        <f>SUMIFS('Social — theo ngày'!F6:F114,'Social — theo ngày'!$A$6:$A$114,"&gt;="&amp;DATE(2026,10,1),'Social — theo ngày'!$A$6:$A$114,"&lt;="&amp;DATE(2026,10,31))</f>
        <v/>
      </c>
    </row>
    <row r="12">
      <c r="A12" s="22" t="inlineStr">
        <is>
          <t>IG — reach/ngày</t>
        </is>
      </c>
      <c r="B12" s="16">
        <f>SUMIFS('Social — theo ngày'!G6:G114,'Social — theo ngày'!$A$6:$A$114,"&gt;="&amp;DATE(2026,7,1),'Social — theo ngày'!$A$6:$A$114,"&lt;="&amp;DATE(2026,7,31))</f>
        <v/>
      </c>
      <c r="C12" s="16">
        <f>SUMIFS('Social — theo ngày'!G6:G114,'Social — theo ngày'!$A$6:$A$114,"&gt;="&amp;DATE(2026,8,1),'Social — theo ngày'!$A$6:$A$114,"&lt;="&amp;DATE(2026,8,31))</f>
        <v/>
      </c>
      <c r="D12" s="16">
        <f>SUMIFS('Social — theo ngày'!G6:G114,'Social — theo ngày'!$A$6:$A$114,"&gt;="&amp;DATE(2026,9,1),'Social — theo ngày'!$A$6:$A$114,"&lt;="&amp;DATE(2026,9,30))</f>
        <v/>
      </c>
      <c r="E12" s="16">
        <f>SUMIFS('Social — theo ngày'!G6:G114,'Social — theo ngày'!$A$6:$A$114,"&gt;="&amp;DATE(2026,10,1),'Social — theo ngày'!$A$6:$A$114,"&lt;="&amp;DATE(2026,10,31))</f>
        <v/>
      </c>
    </row>
    <row r="13">
      <c r="A13" s="22" t="inlineStr">
        <is>
          <t>IG — views/ngày</t>
        </is>
      </c>
      <c r="B13" s="16">
        <f>SUMIFS('Social — theo ngày'!H6:H114,'Social — theo ngày'!$A$6:$A$114,"&gt;="&amp;DATE(2026,7,1),'Social — theo ngày'!$A$6:$A$114,"&lt;="&amp;DATE(2026,7,31))</f>
        <v/>
      </c>
      <c r="C13" s="16">
        <f>SUMIFS('Social — theo ngày'!H6:H114,'Social — theo ngày'!$A$6:$A$114,"&gt;="&amp;DATE(2026,8,1),'Social — theo ngày'!$A$6:$A$114,"&lt;="&amp;DATE(2026,8,31))</f>
        <v/>
      </c>
      <c r="D13" s="16">
        <f>SUMIFS('Social — theo ngày'!H6:H114,'Social — theo ngày'!$A$6:$A$114,"&gt;="&amp;DATE(2026,9,1),'Social — theo ngày'!$A$6:$A$114,"&lt;="&amp;DATE(2026,9,30))</f>
        <v/>
      </c>
      <c r="E13" s="16">
        <f>SUMIFS('Social — theo ngày'!H6:H114,'Social — theo ngày'!$A$6:$A$114,"&gt;="&amp;DATE(2026,10,1),'Social — theo ngày'!$A$6:$A$114,"&lt;="&amp;DATE(2026,10,31))</f>
        <v/>
      </c>
    </row>
    <row r="15">
      <c r="A15" s="23" t="inlineStr">
        <is>
          <t>KHÔNG CỘNG — Social — 28 ngày (lấy ngày quét cuối tháng)</t>
        </is>
      </c>
    </row>
    <row r="16">
      <c r="A16" s="13" t="inlineStr">
        <is>
          <t>Chỉ số</t>
        </is>
      </c>
      <c r="B16" s="21" t="inlineStr">
        <is>
          <t>2026-07</t>
        </is>
      </c>
      <c r="C16" s="21" t="inlineStr">
        <is>
          <t>2026-08</t>
        </is>
      </c>
      <c r="D16" s="21" t="inlineStr">
        <is>
          <t>2026-09</t>
        </is>
      </c>
      <c r="E16" s="21" t="inlineStr">
        <is>
          <t>2026-10</t>
        </is>
      </c>
    </row>
    <row r="17">
      <c r="A17" s="22" t="inlineStr">
        <is>
          <t>FB — followers</t>
        </is>
      </c>
      <c r="B17" s="24">
        <f>'Social — 28 ngày'!B11</f>
        <v/>
      </c>
      <c r="C17" s="24">
        <f>'Social — 28 ngày'!B32</f>
        <v/>
      </c>
      <c r="D17" s="24">
        <f>'Social — 28 ngày'!B54</f>
        <v/>
      </c>
      <c r="E17" s="24">
        <f>'Social — 28 ngày'!B72</f>
        <v/>
      </c>
    </row>
    <row r="18">
      <c r="A18" s="22" t="inlineStr">
        <is>
          <t>FB — tương tác (28n)</t>
        </is>
      </c>
      <c r="B18" s="24">
        <f>'Social — 28 ngày'!C11</f>
        <v/>
      </c>
      <c r="C18" s="24">
        <f>'Social — 28 ngày'!C32</f>
        <v/>
      </c>
      <c r="D18" s="24">
        <f>'Social — 28 ngày'!C54</f>
        <v/>
      </c>
      <c r="E18" s="24">
        <f>'Social — 28 ngày'!C72</f>
        <v/>
      </c>
    </row>
    <row r="19">
      <c r="A19" s="22" t="inlineStr">
        <is>
          <t>FB — views (28n)</t>
        </is>
      </c>
      <c r="B19" s="24">
        <f>'Social — 28 ngày'!D11</f>
        <v/>
      </c>
      <c r="C19" s="24">
        <f>'Social — 28 ngày'!D32</f>
        <v/>
      </c>
      <c r="D19" s="24">
        <f>'Social — 28 ngày'!D54</f>
        <v/>
      </c>
      <c r="E19" s="24">
        <f>'Social — 28 ngày'!D72</f>
        <v/>
      </c>
    </row>
    <row r="20">
      <c r="A20" s="22" t="inlineStr">
        <is>
          <t>FB — lượt ghé (28n)</t>
        </is>
      </c>
      <c r="B20" s="24">
        <f>'Social — 28 ngày'!E11</f>
        <v/>
      </c>
      <c r="C20" s="24">
        <f>'Social — 28 ngày'!E32</f>
        <v/>
      </c>
      <c r="D20" s="24">
        <f>'Social — 28 ngày'!E54</f>
        <v/>
      </c>
      <c r="E20" s="24">
        <f>'Social — 28 ngày'!E72</f>
        <v/>
      </c>
    </row>
    <row r="21">
      <c r="A21" s="22" t="inlineStr">
        <is>
          <t>IG — followers</t>
        </is>
      </c>
      <c r="B21" s="24">
        <f>'Social — 28 ngày'!F11</f>
        <v/>
      </c>
      <c r="C21" s="24">
        <f>'Social — 28 ngày'!F32</f>
        <v/>
      </c>
      <c r="D21" s="24">
        <f>'Social — 28 ngày'!F54</f>
        <v/>
      </c>
      <c r="E21" s="24">
        <f>'Social — 28 ngày'!F72</f>
        <v/>
      </c>
    </row>
    <row r="22">
      <c r="A22" s="22" t="inlineStr">
        <is>
          <t>IG — tương tác (28n)</t>
        </is>
      </c>
      <c r="B22" s="24">
        <f>'Social — 28 ngày'!G11</f>
        <v/>
      </c>
      <c r="C22" s="24">
        <f>'Social — 28 ngày'!G32</f>
        <v/>
      </c>
      <c r="D22" s="24">
        <f>'Social — 28 ngày'!G54</f>
        <v/>
      </c>
      <c r="E22" s="24">
        <f>'Social — 28 ngày'!G72</f>
        <v/>
      </c>
    </row>
    <row r="23">
      <c r="A23" s="22" t="inlineStr">
        <is>
          <t>IG — reach (28n)</t>
        </is>
      </c>
      <c r="B23" s="24">
        <f>'Social — 28 ngày'!H11</f>
        <v/>
      </c>
      <c r="C23" s="24">
        <f>'Social — 28 ngày'!H32</f>
        <v/>
      </c>
      <c r="D23" s="24">
        <f>'Social — 28 ngày'!H54</f>
        <v/>
      </c>
      <c r="E23" s="24">
        <f>'Social — 28 ngày'!H72</f>
        <v/>
      </c>
    </row>
    <row r="24">
      <c r="A24" s="22" t="inlineStr">
        <is>
          <t>IG — views (28n)</t>
        </is>
      </c>
      <c r="B24" s="24">
        <f>'Social — 28 ngày'!I11</f>
        <v/>
      </c>
      <c r="C24" s="24">
        <f>'Social — 28 ngày'!I32</f>
        <v/>
      </c>
      <c r="D24" s="24">
        <f>'Social — 28 ngày'!I54</f>
        <v/>
      </c>
      <c r="E24" s="24">
        <f>'Social — 28 ngày'!I72</f>
        <v/>
      </c>
    </row>
    <row r="25">
      <c r="A25" s="22" t="inlineStr">
        <is>
          <t>LinkedIn — followers</t>
        </is>
      </c>
      <c r="B25" s="24">
        <f>'Social — 28 ngày'!J11</f>
        <v/>
      </c>
      <c r="C25" s="24">
        <f>'Social — 28 ngày'!J32</f>
        <v/>
      </c>
      <c r="D25" s="24">
        <f>'Social — 28 ngày'!J54</f>
        <v/>
      </c>
      <c r="E25" s="24">
        <f>'Social — 28 ngày'!J72</f>
        <v/>
      </c>
    </row>
    <row r="26">
      <c r="A26" s="22" t="inlineStr">
        <is>
          <t>LinkedIn — impressions (28n)</t>
        </is>
      </c>
      <c r="B26" s="24">
        <f>'Social — 28 ngày'!K11</f>
        <v/>
      </c>
      <c r="C26" s="24">
        <f>'Social — 28 ngày'!K32</f>
        <v/>
      </c>
      <c r="D26" s="24">
        <f>'Social — 28 ngày'!K54</f>
        <v/>
      </c>
      <c r="E26" s="24">
        <f>'Social — 28 ngày'!K72</f>
        <v/>
      </c>
    </row>
    <row r="27">
      <c r="A27" s="22" t="inlineStr">
        <is>
          <t>LinkedIn — lượt xem trang (28n)</t>
        </is>
      </c>
      <c r="B27" s="24">
        <f>'Social — 28 ngày'!L11</f>
        <v/>
      </c>
      <c r="C27" s="24">
        <f>'Social — 28 ngày'!L32</f>
        <v/>
      </c>
      <c r="D27" s="24">
        <f>'Social — 28 ngày'!L54</f>
        <v/>
      </c>
      <c r="E27" s="24">
        <f>'Social — 28 ngày'!L72</f>
        <v/>
      </c>
    </row>
    <row r="28">
      <c r="A28" s="22" t="inlineStr">
        <is>
          <t>LinkedIn — reactions (28n)</t>
        </is>
      </c>
      <c r="B28" s="24">
        <f>'Social — 28 ngày'!M11</f>
        <v/>
      </c>
      <c r="C28" s="24">
        <f>'Social — 28 ngày'!M32</f>
        <v/>
      </c>
      <c r="D28" s="24">
        <f>'Social — 28 ngày'!M54</f>
        <v/>
      </c>
      <c r="E28" s="24">
        <f>'Social — 28 ngày'!M72</f>
        <v/>
      </c>
    </row>
    <row r="29">
      <c r="A29" s="22" t="inlineStr">
        <is>
          <t>YouTube — subscribers</t>
        </is>
      </c>
      <c r="B29" s="24">
        <f>'Social — 28 ngày'!N11</f>
        <v/>
      </c>
      <c r="C29" s="24">
        <f>'Social — 28 ngày'!N32</f>
        <v/>
      </c>
      <c r="D29" s="24">
        <f>'Social — 28 ngày'!N54</f>
        <v/>
      </c>
      <c r="E29" s="24">
        <f>'Social — 28 ngày'!N72</f>
        <v/>
      </c>
    </row>
    <row r="30">
      <c r="A30" s="22" t="inlineStr">
        <is>
          <t>YouTube — views (28n)</t>
        </is>
      </c>
      <c r="B30" s="24">
        <f>'Social — 28 ngày'!O11</f>
        <v/>
      </c>
      <c r="C30" s="24">
        <f>'Social — 28 ngày'!O32</f>
        <v/>
      </c>
      <c r="D30" s="24">
        <f>'Social — 28 ngày'!O54</f>
        <v/>
      </c>
      <c r="E30" s="24">
        <f>'Social — 28 ngày'!O72</f>
        <v/>
      </c>
    </row>
    <row r="32">
      <c r="A32" s="23" t="inlineStr">
        <is>
          <t>KHÔNG CỘNG — SEO (lấy ngày quét cuối tháng)</t>
        </is>
      </c>
    </row>
    <row r="33">
      <c r="A33" s="13" t="inlineStr">
        <is>
          <t>Chỉ số</t>
        </is>
      </c>
      <c r="B33" s="21" t="inlineStr">
        <is>
          <t>2026-06</t>
        </is>
      </c>
      <c r="C33" s="21" t="inlineStr">
        <is>
          <t>2026-07</t>
        </is>
      </c>
      <c r="D33" s="21" t="inlineStr">
        <is>
          <t>2026-08</t>
        </is>
      </c>
      <c r="E33" s="21" t="inlineStr">
        <is>
          <t>2026-09</t>
        </is>
      </c>
      <c r="F33" s="21" t="inlineStr">
        <is>
          <t>2026-10</t>
        </is>
      </c>
    </row>
    <row r="34">
      <c r="A34" s="22" t="inlineStr">
        <is>
          <t>Ahrefs — trích dẫn AI</t>
        </is>
      </c>
      <c r="B34" s="24">
        <f>'SEO'!B6</f>
        <v/>
      </c>
      <c r="C34" s="24">
        <f>'SEO'!B11</f>
        <v/>
      </c>
      <c r="D34" s="24">
        <f>'SEO'!B30</f>
        <v/>
      </c>
      <c r="E34" s="24">
        <f>'SEO'!B54</f>
        <v/>
      </c>
      <c r="F34" s="24">
        <f>'SEO'!B72</f>
        <v/>
      </c>
    </row>
    <row r="35">
      <c r="A35" s="22" t="inlineStr">
        <is>
          <t>Ahrefs — backlinks</t>
        </is>
      </c>
      <c r="B35" s="24">
        <f>'SEO'!C6</f>
        <v/>
      </c>
      <c r="C35" s="24">
        <f>'SEO'!C11</f>
        <v/>
      </c>
      <c r="D35" s="24">
        <f>'SEO'!C30</f>
        <v/>
      </c>
      <c r="E35" s="24">
        <f>'SEO'!C54</f>
        <v/>
      </c>
      <c r="F35" s="24">
        <f>'SEO'!C72</f>
        <v/>
      </c>
    </row>
    <row r="36">
      <c r="A36" s="22" t="inlineStr">
        <is>
          <t>Ahrefs — referring domains</t>
        </is>
      </c>
      <c r="B36" s="24">
        <f>'SEO'!D6</f>
        <v/>
      </c>
      <c r="C36" s="24">
        <f>'SEO'!D11</f>
        <v/>
      </c>
      <c r="D36" s="24">
        <f>'SEO'!D30</f>
        <v/>
      </c>
      <c r="E36" s="24">
        <f>'SEO'!D54</f>
        <v/>
      </c>
      <c r="F36" s="24">
        <f>'SEO'!D72</f>
        <v/>
      </c>
    </row>
    <row r="37">
      <c r="A37" s="22" t="inlineStr">
        <is>
          <t>GA4 — engagement %</t>
        </is>
      </c>
      <c r="B37" s="24">
        <f>'SEO'!E6</f>
        <v/>
      </c>
      <c r="C37" s="24">
        <f>'SEO'!E11</f>
        <v/>
      </c>
      <c r="D37" s="24">
        <f>'SEO'!E30</f>
        <v/>
      </c>
      <c r="E37" s="24">
        <f>'SEO'!E54</f>
        <v/>
      </c>
      <c r="F37" s="24">
        <f>'SEO'!E72</f>
        <v/>
      </c>
    </row>
    <row r="38">
      <c r="A38" s="22" t="inlineStr">
        <is>
          <t>GA4 — key events</t>
        </is>
      </c>
      <c r="B38" s="24">
        <f>'SEO'!F6</f>
        <v/>
      </c>
      <c r="C38" s="24">
        <f>'SEO'!F11</f>
        <v/>
      </c>
      <c r="D38" s="24">
        <f>'SEO'!F30</f>
        <v/>
      </c>
      <c r="E38" s="24">
        <f>'SEO'!F54</f>
        <v/>
      </c>
      <c r="F38" s="24">
        <f>'SEO'!F72</f>
        <v/>
      </c>
    </row>
    <row r="39">
      <c r="A39" s="22" t="inlineStr">
        <is>
          <t>GA4 — sessions</t>
        </is>
      </c>
      <c r="B39" s="24">
        <f>'SEO'!G6</f>
        <v/>
      </c>
      <c r="C39" s="24">
        <f>'SEO'!G11</f>
        <v/>
      </c>
      <c r="D39" s="24">
        <f>'SEO'!G30</f>
        <v/>
      </c>
      <c r="E39" s="24">
        <f>'SEO'!G54</f>
        <v/>
      </c>
      <c r="F39" s="24">
        <f>'SEO'!G72</f>
        <v/>
      </c>
    </row>
    <row r="40">
      <c r="A40" s="22" t="inlineStr">
        <is>
          <t>GA4 — users</t>
        </is>
      </c>
      <c r="B40" s="24">
        <f>'SEO'!H6</f>
        <v/>
      </c>
      <c r="C40" s="24">
        <f>'SEO'!H11</f>
        <v/>
      </c>
      <c r="D40" s="24">
        <f>'SEO'!H30</f>
        <v/>
      </c>
      <c r="E40" s="24">
        <f>'SEO'!H54</f>
        <v/>
      </c>
      <c r="F40" s="24">
        <f>'SEO'!H72</f>
        <v/>
      </c>
    </row>
    <row r="41">
      <c r="A41" s="22" t="inlineStr">
        <is>
          <t>GSC — clicks</t>
        </is>
      </c>
      <c r="B41" s="24">
        <f>'SEO'!I6</f>
        <v/>
      </c>
      <c r="C41" s="24">
        <f>'SEO'!I11</f>
        <v/>
      </c>
      <c r="D41" s="24">
        <f>'SEO'!I30</f>
        <v/>
      </c>
      <c r="E41" s="24">
        <f>'SEO'!I54</f>
        <v/>
      </c>
      <c r="F41" s="24">
        <f>'SEO'!I72</f>
        <v/>
      </c>
    </row>
    <row r="42">
      <c r="A42" s="22" t="inlineStr">
        <is>
          <t>GSC — CTR %</t>
        </is>
      </c>
      <c r="B42" s="24">
        <f>'SEO'!J6</f>
        <v/>
      </c>
      <c r="C42" s="24">
        <f>'SEO'!J11</f>
        <v/>
      </c>
      <c r="D42" s="24">
        <f>'SEO'!J30</f>
        <v/>
      </c>
      <c r="E42" s="24">
        <f>'SEO'!J54</f>
        <v/>
      </c>
      <c r="F42" s="24">
        <f>'SEO'!J72</f>
        <v/>
      </c>
    </row>
    <row r="43">
      <c r="A43" s="22" t="inlineStr">
        <is>
          <t>GSC — impressions</t>
        </is>
      </c>
      <c r="B43" s="24">
        <f>'SEO'!K6</f>
        <v/>
      </c>
      <c r="C43" s="24">
        <f>'SEO'!K11</f>
        <v/>
      </c>
      <c r="D43" s="24">
        <f>'SEO'!K30</f>
        <v/>
      </c>
      <c r="E43" s="24">
        <f>'SEO'!K54</f>
        <v/>
      </c>
      <c r="F43" s="24">
        <f>'SEO'!K72</f>
        <v/>
      </c>
    </row>
    <row r="44">
      <c r="A44" s="22" t="inlineStr">
        <is>
          <t>GSC — vị trí TB</t>
        </is>
      </c>
      <c r="B44" s="24">
        <f>'SEO'!L6</f>
        <v/>
      </c>
      <c r="C44" s="24">
        <f>'SEO'!L11</f>
        <v/>
      </c>
      <c r="D44" s="24">
        <f>'SEO'!L30</f>
        <v/>
      </c>
      <c r="E44" s="24">
        <f>'SEO'!L54</f>
        <v/>
      </c>
      <c r="F44" s="24">
        <f>'SEO'!L72</f>
        <v/>
      </c>
    </row>
    <row r="45">
      <c r="A45" s="22" t="inlineStr">
        <is>
          <t>GSC — số truy vấn</t>
        </is>
      </c>
      <c r="B45" s="24">
        <f>'SEO'!M6</f>
        <v/>
      </c>
      <c r="C45" s="24">
        <f>'SEO'!M11</f>
        <v/>
      </c>
      <c r="D45" s="24">
        <f>'SEO'!M30</f>
        <v/>
      </c>
      <c r="E45" s="24">
        <f>'SEO'!M54</f>
        <v/>
      </c>
      <c r="F45" s="24">
        <f>'SEO'!M72</f>
        <v/>
      </c>
    </row>
    <row r="46">
      <c r="A46" s="22" t="inlineStr">
        <is>
          <t>Sitemap — số URL</t>
        </is>
      </c>
      <c r="B46" s="24">
        <f>'SEO'!N6</f>
        <v/>
      </c>
      <c r="C46" s="24">
        <f>'SEO'!N11</f>
        <v/>
      </c>
      <c r="D46" s="24">
        <f>'SEO'!N30</f>
        <v/>
      </c>
      <c r="E46" s="24">
        <f>'SEO'!N54</f>
        <v/>
      </c>
      <c r="F46" s="24">
        <f>'SEO'!N72</f>
        <v/>
      </c>
    </row>
    <row r="47">
      <c r="A47" s="22" t="inlineStr">
        <is>
          <t>TTFB trung bình (ms)</t>
        </is>
      </c>
      <c r="B47" s="24">
        <f>'SEO'!O6</f>
        <v/>
      </c>
      <c r="C47" s="24">
        <f>'SEO'!O11</f>
        <v/>
      </c>
      <c r="D47" s="24">
        <f>'SEO'!O30</f>
        <v/>
      </c>
      <c r="E47" s="24">
        <f>'SEO'!O54</f>
        <v/>
      </c>
      <c r="F47" s="24">
        <f>'SEO'!O72</f>
        <v/>
      </c>
    </row>
    <row r="49">
      <c r="A49" s="23" t="inlineStr">
        <is>
          <t>KHÔNG CỘNG — Audit (lấy ngày quét cuối tháng)</t>
        </is>
      </c>
    </row>
    <row r="50">
      <c r="A50" s="13" t="inlineStr">
        <is>
          <t>Chỉ số</t>
        </is>
      </c>
      <c r="B50" s="21" t="inlineStr">
        <is>
          <t>2026-07</t>
        </is>
      </c>
      <c r="C50" s="21" t="inlineStr">
        <is>
          <t>2026-08</t>
        </is>
      </c>
      <c r="D50" s="21" t="inlineStr">
        <is>
          <t>2026-09</t>
        </is>
      </c>
      <c r="E50" s="21" t="inlineStr">
        <is>
          <t>2026-10</t>
        </is>
      </c>
    </row>
    <row r="51">
      <c r="A51" s="22" t="inlineStr">
        <is>
          <t>Content</t>
        </is>
      </c>
      <c r="B51" s="24">
        <f>'Audit'!B10</f>
        <v/>
      </c>
      <c r="C51" s="24">
        <f>'Audit'!B29</f>
        <v/>
      </c>
      <c r="D51" s="24">
        <f>'Audit'!B51</f>
        <v/>
      </c>
      <c r="E51" s="24">
        <f>'Audit'!B69</f>
        <v/>
      </c>
    </row>
    <row r="52">
      <c r="A52" s="22" t="inlineStr">
        <is>
          <t>Crawlability</t>
        </is>
      </c>
      <c r="B52" s="24">
        <f>'Audit'!C10</f>
        <v/>
      </c>
      <c r="C52" s="24">
        <f>'Audit'!C29</f>
        <v/>
      </c>
      <c r="D52" s="24">
        <f>'Audit'!C51</f>
        <v/>
      </c>
      <c r="E52" s="24">
        <f>'Audit'!C69</f>
        <v/>
      </c>
    </row>
    <row r="53">
      <c r="A53" s="22" t="inlineStr">
        <is>
          <t>Health score</t>
        </is>
      </c>
      <c r="B53" s="24">
        <f>'Audit'!D10</f>
        <v/>
      </c>
      <c r="C53" s="24">
        <f>'Audit'!D29</f>
        <v/>
      </c>
      <c r="D53" s="24">
        <f>'Audit'!D51</f>
        <v/>
      </c>
      <c r="E53" s="24">
        <f>'Audit'!D69</f>
        <v/>
      </c>
    </row>
    <row r="54">
      <c r="A54" s="22" t="inlineStr">
        <is>
          <t>On-page / Meta</t>
        </is>
      </c>
      <c r="B54" s="24">
        <f>'Audit'!E10</f>
        <v/>
      </c>
      <c r="C54" s="24">
        <f>'Audit'!E29</f>
        <v/>
      </c>
      <c r="D54" s="24">
        <f>'Audit'!E51</f>
        <v/>
      </c>
      <c r="E54" s="24">
        <f>'Audit'!E69</f>
        <v/>
      </c>
    </row>
    <row r="55">
      <c r="A55" s="22" t="inlineStr">
        <is>
          <t>Số trang crawl</t>
        </is>
      </c>
      <c r="B55" s="24">
        <f>'Audit'!F10</f>
        <v/>
      </c>
      <c r="C55" s="24">
        <f>'Audit'!F29</f>
        <v/>
      </c>
      <c r="D55" s="24">
        <f>'Audit'!F51</f>
        <v/>
      </c>
      <c r="E55" s="24">
        <f>'Audit'!F69</f>
        <v/>
      </c>
    </row>
    <row r="56">
      <c r="A56" s="22" t="inlineStr">
        <is>
          <t>Performance / TTFB</t>
        </is>
      </c>
      <c r="B56" s="24">
        <f>'Audit'!G10</f>
        <v/>
      </c>
      <c r="C56" s="24">
        <f>'Audit'!G29</f>
        <v/>
      </c>
      <c r="D56" s="24">
        <f>'Audit'!G51</f>
        <v/>
      </c>
      <c r="E56" s="24">
        <f>'Audit'!G69</f>
        <v/>
      </c>
    </row>
    <row r="57">
      <c r="A57" s="22" t="inlineStr">
        <is>
          <t>Sitemap — số URL</t>
        </is>
      </c>
      <c r="B57" s="24">
        <f>'Audit'!H10</f>
        <v/>
      </c>
      <c r="C57" s="24">
        <f>'Audit'!H29</f>
        <v/>
      </c>
      <c r="D57" s="24">
        <f>'Audit'!H51</f>
        <v/>
      </c>
      <c r="E57" s="24">
        <f>'Audit'!H69</f>
        <v/>
      </c>
    </row>
    <row r="58">
      <c r="A58" s="22" t="inlineStr">
        <is>
          <t>Structured data</t>
        </is>
      </c>
      <c r="B58" s="24">
        <f>'Audit'!I10</f>
        <v/>
      </c>
      <c r="C58" s="24">
        <f>'Audit'!I29</f>
        <v/>
      </c>
      <c r="D58" s="24">
        <f>'Audit'!I51</f>
        <v/>
      </c>
      <c r="E58" s="24">
        <f>'Audit'!I69</f>
        <v/>
      </c>
    </row>
    <row r="59">
      <c r="A59" s="22" t="inlineStr">
        <is>
          <t>TTFB trung bình (ms)</t>
        </is>
      </c>
      <c r="B59" s="24">
        <f>'Audit'!J10</f>
        <v/>
      </c>
      <c r="C59" s="24">
        <f>'Audit'!J29</f>
        <v/>
      </c>
      <c r="D59" s="24">
        <f>'Audit'!J51</f>
        <v/>
      </c>
      <c r="E59" s="24">
        <f>'Audit'!J69</f>
        <v/>
      </c>
    </row>
    <row r="60">
      <c r="A60" s="22" t="inlineStr">
        <is>
          <t>TTFB trung vị (ms)</t>
        </is>
      </c>
      <c r="B60" s="24">
        <f>'Audit'!K10</f>
        <v/>
      </c>
      <c r="C60" s="24">
        <f>'Audit'!K29</f>
        <v/>
      </c>
      <c r="D60" s="24">
        <f>'Audit'!K51</f>
        <v/>
      </c>
      <c r="E60" s="24">
        <f>'Audit'!K69</f>
        <v/>
      </c>
    </row>
    <row r="61">
      <c r="A61" s="22" t="inlineStr">
        <is>
          <t>Tổng số từ</t>
        </is>
      </c>
      <c r="B61" s="24">
        <f>'Audit'!L10</f>
        <v/>
      </c>
      <c r="C61" s="24">
        <f>'Audit'!L29</f>
        <v/>
      </c>
      <c r="D61" s="24">
        <f>'Audit'!L51</f>
        <v/>
      </c>
      <c r="E61" s="24">
        <f>'Audit'!L69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2026-10-22T23:27:37Z</dcterms:created>
  <dcterms:modified xmlns:dcterms="http://purl.org/dc/terms/" xmlns:xsi="http://www.w3.org/2001/XMLSchema-instance" xsi:type="dcterms:W3CDTF">2026-10-22T23:27:37Z</dcterms:modified>
</cp:coreProperties>
</file>