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<sst xmlns="http://schemas.openxmlformats.org/spreadsheetml/2006/main" count="215" uniqueCount="97">
  <si>
    <t xml:space="preserve">DX Living — dữ liệu báo cáo theo ngày</t>
  </si>
  <si>
    <t xml:space="preserve">Xuất ngày 2026-10-01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</si>
  <si>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</si>
  <si>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</si>
  <si>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</si>
  <si>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</si>
  <si>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</si>
  <si>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</si>
  <si>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</si>
  <si>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</si>
  <si>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</si>
  <si>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</si>
  <si>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</si>
  <si>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</si>
  <si>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</si>
  <si>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</si>
  <si>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</si>
  <si>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</si>
  <si>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</si>
  <si>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</si>
  <si>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</si>
  <si>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</si>
  <si>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</si>
  <si>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87 dòng × 7 chỉ số · 2026-07-05 → 2026-09-29</t>
  </si>
  <si>
    <t xml:space="preserve">Social — 28 ngày</t>
  </si>
  <si>
    <t xml:space="preserve">50 dòng × 14 chỉ số · 2026-07-23 → 2026-10-01</t>
  </si>
  <si>
    <t xml:space="preserve">SEO</t>
  </si>
  <si>
    <t xml:space="preserve">50 dòng × 14 chỉ số · 2026-06-30 → 2026-10-01</t>
  </si>
  <si>
    <t xml:space="preserve">Audit</t>
  </si>
  <si>
    <t xml:space="preserve">47 dòng × 11 chỉ số · 2026-07-27 → 2026-10-01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</si>
  <si>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</si>
  <si>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87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</si>
  <si>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</si>
  <si>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</si>
  <si>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</si>
  <si>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</si>
  <si>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</si>
  <si>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</si>
  <si>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</si>
  <si>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</si>
  <si>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</si>
  <si>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</si>
  <si>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50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</si>
  <si>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</si>
  <si>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</si>
  <si>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</si>
  <si>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</si>
  <si>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</si>
  <si>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</si>
  <si>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</si>
  <si>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</si>
  <si>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</si>
  <si>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</si>
  <si>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</si>
  <si>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</si>
  <si>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</si>
  <si>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</si>
  <si>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</si>
  <si>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50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</si>
  <si>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</si>
  <si>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</si>
  <si>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</si>
  <si>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</si>
  <si>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</si>
  <si>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</si>
  <si>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</si>
  <si>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</si>
  <si>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</si>
  <si>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</si>
  <si>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</si>
  <si>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</si>
  <si>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</si>
  <si>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</si>
  <si>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</si>
  <si>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47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</si>
  <si>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</si>
  <si>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</si>
  <si>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</si>
  <si>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</si>
  <si>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</si>
  <si>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</si>
  <si>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</si>
  <si>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</si>
  <si>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</si>
  <si>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</si>
  <si>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</si>
  <si>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</si>
  <si>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</si>
  <si>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</si>
  <si>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</si>
  <si>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</si>
  <si>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</si>
  <si>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</si>
  <si>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2026-10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</si>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</sst>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4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ngày'!B6:B92,'Social — theo ngày'!$A$6:$A$92,"&gt;="&amp;DATE(2026,7,1),'Social — theo ngày'!$A$6:$A$92,"&lt;="&amp;DATE(2026,7,31))</f>
        <v>125</v>
      </c>
      <c r="C7" s="16" t="n">
        <f aca="false">SUMIFS('Social — theo ngày'!B6:B92,'Social — theo ngày'!$A$6:$A$92,"&gt;="&amp;DATE(2026,8,1),'Social — theo ngày'!$A$6:$A$92,"&lt;="&amp;DATE(2026,8,31))</f>
        <v>195</v>
      </c>
      <c r="D7" s="16" t="n">
        <f aca="false">SUMIFS('Social — theo ngày'!B6:B92,'Social — theo ngày'!$A$6:$A$92,"&gt;="&amp;DATE(2026,9,1),'Social — theo ngày'!$A$6:$A$92,"&lt;="&amp;DATE(2026,9,30))</f>
        <v>145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ngày'!C6:C92,'Social — theo ngày'!$A$6:$A$92,"&gt;="&amp;DATE(2026,7,1),'Social — theo ngày'!$A$6:$A$92,"&lt;="&amp;DATE(2026,7,31))</f>
        <v>106</v>
      </c>
      <c r="C8" s="16" t="n">
        <f aca="false">SUMIFS('Social — theo ngày'!C6:C92,'Social — theo ngày'!$A$6:$A$92,"&gt;="&amp;DATE(2026,8,1),'Social — theo ngày'!$A$6:$A$92,"&lt;="&amp;DATE(2026,8,31))</f>
        <v>147</v>
      </c>
      <c r="D8" s="16" t="n">
        <f aca="false">SUMIFS('Social — theo ngày'!C6:C92,'Social — theo ngày'!$A$6:$A$92,"&gt;="&amp;DATE(2026,9,1),'Social — theo ngày'!$A$6:$A$92,"&lt;="&amp;DATE(2026,9,30))</f>
        <v>353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ngày'!D6:D92,'Social — theo ngày'!$A$6:$A$92,"&gt;="&amp;DATE(2026,7,1),'Social — theo ngày'!$A$6:$A$92,"&lt;="&amp;DATE(2026,7,31))</f>
        <v>3579</v>
      </c>
      <c r="C9" s="16" t="n">
        <f aca="false">SUMIFS('Social — theo ngày'!D6:D92,'Social — theo ngày'!$A$6:$A$92,"&gt;="&amp;DATE(2026,8,1),'Social — theo ngày'!$A$6:$A$92,"&lt;="&amp;DATE(2026,8,31))</f>
        <v>4978</v>
      </c>
      <c r="D9" s="16" t="n">
        <f aca="false">SUMIFS('Social — theo ngày'!D6:D92,'Social — theo ngày'!$A$6:$A$92,"&gt;="&amp;DATE(2026,9,1),'Social — theo ngày'!$A$6:$A$92,"&lt;="&amp;DATE(2026,9,30))</f>
        <v>4614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ngày'!E6:E92,'Social — theo ngày'!$A$6:$A$92,"&gt;="&amp;DATE(2026,7,1),'Social — theo ngày'!$A$6:$A$92,"&lt;="&amp;DATE(2026,7,31))</f>
        <v>189</v>
      </c>
      <c r="C10" s="16" t="n">
        <f aca="false">SUMIFS('Social — theo ngày'!E6:E92,'Social — theo ngày'!$A$6:$A$92,"&gt;="&amp;DATE(2026,8,1),'Social — theo ngày'!$A$6:$A$92,"&lt;="&amp;DATE(2026,8,31))</f>
        <v>314</v>
      </c>
      <c r="D10" s="16" t="n">
        <f aca="false">SUMIFS('Social — theo ngày'!E6:E92,'Social — theo ngày'!$A$6:$A$92,"&gt;="&amp;DATE(2026,9,1),'Social — theo ngày'!$A$6:$A$92,"&lt;="&amp;DATE(2026,9,30))</f>
        <v>422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ngày'!F6:F92,'Social — theo ngày'!$A$6:$A$92,"&gt;="&amp;DATE(2026,7,1),'Social — theo ngày'!$A$6:$A$92,"&lt;="&amp;DATE(2026,7,31))</f>
        <v>51</v>
      </c>
      <c r="C11" s="16" t="n">
        <f aca="false">SUMIFS('Social — theo ngày'!F6:F92,'Social — theo ngày'!$A$6:$A$92,"&gt;="&amp;DATE(2026,8,1),'Social — theo ngày'!$A$6:$A$92,"&lt;="&amp;DATE(2026,8,31))</f>
        <v>69</v>
      </c>
      <c r="D11" s="16" t="n">
        <f aca="false">SUMIFS('Social — theo ngày'!F6:F92,'Social — theo ngày'!$A$6:$A$92,"&gt;="&amp;DATE(2026,9,1),'Social — theo ngày'!$A$6:$A$92,"&lt;="&amp;DATE(2026,9,30))</f>
        <v>23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ngày'!G6:G92,'Social — theo ngày'!$A$6:$A$92,"&gt;="&amp;DATE(2026,7,1),'Social — theo ngày'!$A$6:$A$92,"&lt;="&amp;DATE(2026,7,31))</f>
        <v>275</v>
      </c>
      <c r="C12" s="16" t="n">
        <f aca="false">SUMIFS('Social — theo ngày'!G6:G92,'Social — theo ngày'!$A$6:$A$92,"&gt;="&amp;DATE(2026,8,1),'Social — theo ngày'!$A$6:$A$92,"&lt;="&amp;DATE(2026,8,31))</f>
        <v>387</v>
      </c>
      <c r="D12" s="16" t="n">
        <f aca="false">SUMIFS('Social — theo ngày'!G6:G92,'Social — theo ngày'!$A$6:$A$92,"&gt;="&amp;DATE(2026,9,1),'Social — theo ngày'!$A$6:$A$92,"&lt;="&amp;DATE(2026,9,30))</f>
        <v>166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ngày'!H6:H92,'Social — theo ngày'!$A$6:$A$92,"&gt;="&amp;DATE(2026,7,1),'Social — theo ngày'!$A$6:$A$92,"&lt;="&amp;DATE(2026,7,31))</f>
        <v>869</v>
      </c>
      <c r="C13" s="16" t="n">
        <f aca="false">SUMIFS('Social — theo ngày'!H6:H92,'Social — theo ngày'!$A$6:$A$92,"&gt;="&amp;DATE(2026,8,1),'Social — theo ngày'!$A$6:$A$92,"&lt;="&amp;DATE(2026,8,31))</f>
        <v>1161</v>
      </c>
      <c r="D13" s="16" t="n">
        <f aca="false">SUMIFS('Social — theo ngày'!H6:H92,'Social — theo ngày'!$A$6:$A$92,"&gt;="&amp;DATE(2026,9,1),'Social — theo ngày'!$A$6:$A$92,"&lt;="&amp;DATE(2026,9,30))</f>
        <v>2318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93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ngày'!B55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ngày'!C55</f>
        <v>132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ngày'!D55</f>
        <v>4427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ngày'!E55</f>
        <v>421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ngày'!F55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ngày'!G55</f>
        <v>23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ngày'!H55</f>
        <v>87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ngày'!I55</f>
        <v>2297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ngày'!J55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ngày'!K55</f>
        <v>1219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ngày'!L55</f>
        <v>26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ngày'!M55</f>
        <v>37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ngày'!N55</f>
        <v>0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ngày'!O55</f>
        <v>0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93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SEO!B55</f>
        <v>18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SEO!C55</f>
        <v>918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SEO!D55</f>
        <v>882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SEO!E55</f>
        <v>0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SEO!F55</f>
        <v>0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SEO!G55</f>
        <v>0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SEO!H55</f>
        <v>0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SEO!I55</f>
        <v>0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SEO!J55</f>
        <v>0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SEO!K55</f>
        <v>0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SEO!L55</f>
        <v>0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SEO!M55</f>
        <v>0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SEO!N55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SEO!O55</f>
        <v>331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93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Audit!B52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Audit!C52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Audit!D52</f>
        <v>95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Audit!E52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Audit!F52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Audit!G52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Audit!H52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Audit!I52</f>
        <v>92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Audit!J52</f>
        <v>331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Audit!K52</f>
        <v>268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Audit!L52</f>
        <v>241211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2026-10-01T00:00:41Z</dcterms:created>
  <dc:creator>openpyxl</dc:creator>
  <dc:description/>
  <dc:language>en-US</dc:language>
  <cp:lastModifiedBy/>
  <dcterms:modified xsi:type="dcterms:W3CDTF">2026-10-01T00:00:41Z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