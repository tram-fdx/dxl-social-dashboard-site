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<sst xmlns="http://schemas.openxmlformats.org/spreadsheetml/2006/main" count="212" uniqueCount="96">
  <si>
    <t xml:space="preserve">DX Living — dữ liệu báo cáo theo ngày</t>
  </si>
  <si>
    <t xml:space="preserve">Xuất ngày 2026-09-28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</si>
  <si>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</si>
  <si>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</si>
  <si>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</si>
  <si>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</si>
  <si>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</si>
  <si>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</si>
  <si>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</si>
  <si>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</si>
  <si>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</si>
  <si>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</si>
  <si>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</si>
  <si>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</si>
  <si>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</si>
  <si>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</si>
  <si>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</si>
  <si>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</si>
  <si>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</si>
  <si>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</si>
  <si>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</si>
  <si>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</si>
  <si>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</si>
  <si>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84 dòng × 7 chỉ số · 2026-07-05 → 2026-09-26</t>
  </si>
  <si>
    <t xml:space="preserve">Social — 28 ngày</t>
  </si>
  <si>
    <t xml:space="preserve">47 dòng × 14 chỉ số · 2026-07-23 → 2026-09-28</t>
  </si>
  <si>
    <t xml:space="preserve">SEO</t>
  </si>
  <si>
    <t xml:space="preserve">47 dòng × 14 chỉ số · 2026-06-30 → 2026-09-28</t>
  </si>
  <si>
    <t xml:space="preserve">Audit</t>
  </si>
  <si>
    <t xml:space="preserve">44 dòng × 11 chỉ số · 2026-07-27 → 2026-09-28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</si>
  <si>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</si>
  <si>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84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</si>
  <si>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</si>
  <si>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</si>
  <si>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</si>
  <si>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</si>
  <si>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</si>
  <si>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</si>
  <si>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</si>
  <si>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</si>
  <si>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</si>
  <si>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</si>
  <si>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47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</si>
  <si>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</si>
  <si>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</si>
  <si>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</si>
  <si>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</si>
  <si>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</si>
  <si>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</si>
  <si>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</si>
  <si>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</si>
  <si>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</si>
  <si>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</si>
  <si>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</si>
  <si>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</si>
  <si>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</si>
  <si>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</si>
  <si>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</si>
  <si>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47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</si>
  <si>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</si>
  <si>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</si>
  <si>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</si>
  <si>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</si>
  <si>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</si>
  <si>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</si>
  <si>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</si>
  <si>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</si>
  <si>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</si>
  <si>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</si>
  <si>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</si>
  <si>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</si>
  <si>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</si>
  <si>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</si>
  <si>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</si>
  <si>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44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</si>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</sst>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39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3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24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5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6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ngày'!B6:B89,'Social — theo ngày'!$A$6:$A$89,"&gt;="&amp;DATE(2026,7,1),'Social — theo ngày'!$A$6:$A$89,"&lt;="&amp;DATE(2026,7,31))</f>
        <v>125</v>
      </c>
      <c r="C7" s="16" t="n">
        <f aca="false">SUMIFS('Social — theo ngày'!B6:B89,'Social — theo ngày'!$A$6:$A$89,"&gt;="&amp;DATE(2026,8,1),'Social — theo ngày'!$A$6:$A$89,"&lt;="&amp;DATE(2026,8,31))</f>
        <v>195</v>
      </c>
      <c r="D7" s="16" t="n">
        <f aca="false">SUMIFS('Social — theo ngày'!B6:B89,'Social — theo ngày'!$A$6:$A$89,"&gt;="&amp;DATE(2026,9,1),'Social — theo ngày'!$A$6:$A$89,"&lt;="&amp;DATE(2026,9,30))</f>
        <v>135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ngày'!C6:C89,'Social — theo ngày'!$A$6:$A$89,"&gt;="&amp;DATE(2026,7,1),'Social — theo ngày'!$A$6:$A$89,"&lt;="&amp;DATE(2026,7,31))</f>
        <v>106</v>
      </c>
      <c r="C8" s="16" t="n">
        <f aca="false">SUMIFS('Social — theo ngày'!C6:C89,'Social — theo ngày'!$A$6:$A$89,"&gt;="&amp;DATE(2026,8,1),'Social — theo ngày'!$A$6:$A$89,"&lt;="&amp;DATE(2026,8,31))</f>
        <v>147</v>
      </c>
      <c r="D8" s="16" t="n">
        <f aca="false">SUMIFS('Social — theo ngày'!C6:C89,'Social — theo ngày'!$A$6:$A$89,"&gt;="&amp;DATE(2026,9,1),'Social — theo ngày'!$A$6:$A$89,"&lt;="&amp;DATE(2026,9,30))</f>
        <v>347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ngày'!D6:D89,'Social — theo ngày'!$A$6:$A$89,"&gt;="&amp;DATE(2026,7,1),'Social — theo ngày'!$A$6:$A$89,"&lt;="&amp;DATE(2026,7,31))</f>
        <v>3579</v>
      </c>
      <c r="C9" s="16" t="n">
        <f aca="false">SUMIFS('Social — theo ngày'!D6:D89,'Social — theo ngày'!$A$6:$A$89,"&gt;="&amp;DATE(2026,8,1),'Social — theo ngày'!$A$6:$A$89,"&lt;="&amp;DATE(2026,8,31))</f>
        <v>4978</v>
      </c>
      <c r="D9" s="16" t="n">
        <f aca="false">SUMIFS('Social — theo ngày'!D6:D89,'Social — theo ngày'!$A$6:$A$89,"&gt;="&amp;DATE(2026,9,1),'Social — theo ngày'!$A$6:$A$89,"&lt;="&amp;DATE(2026,9,30))</f>
        <v>4274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ngày'!E6:E89,'Social — theo ngày'!$A$6:$A$89,"&gt;="&amp;DATE(2026,7,1),'Social — theo ngày'!$A$6:$A$89,"&lt;="&amp;DATE(2026,7,31))</f>
        <v>189</v>
      </c>
      <c r="C10" s="16" t="n">
        <f aca="false">SUMIFS('Social — theo ngày'!E6:E89,'Social — theo ngày'!$A$6:$A$89,"&gt;="&amp;DATE(2026,8,1),'Social — theo ngày'!$A$6:$A$89,"&lt;="&amp;DATE(2026,8,31))</f>
        <v>314</v>
      </c>
      <c r="D10" s="16" t="n">
        <f aca="false">SUMIFS('Social — theo ngày'!E6:E89,'Social — theo ngày'!$A$6:$A$89,"&gt;="&amp;DATE(2026,9,1),'Social — theo ngày'!$A$6:$A$89,"&lt;="&amp;DATE(2026,9,30))</f>
        <v>412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ngày'!F6:F89,'Social — theo ngày'!$A$6:$A$89,"&gt;="&amp;DATE(2026,7,1),'Social — theo ngày'!$A$6:$A$89,"&lt;="&amp;DATE(2026,7,31))</f>
        <v>51</v>
      </c>
      <c r="C11" s="16" t="n">
        <f aca="false">SUMIFS('Social — theo ngày'!F6:F89,'Social — theo ngày'!$A$6:$A$89,"&gt;="&amp;DATE(2026,8,1),'Social — theo ngày'!$A$6:$A$89,"&lt;="&amp;DATE(2026,8,31))</f>
        <v>69</v>
      </c>
      <c r="D11" s="16" t="n">
        <f aca="false">SUMIFS('Social — theo ngày'!F6:F89,'Social — theo ngày'!$A$6:$A$89,"&gt;="&amp;DATE(2026,9,1),'Social — theo ngày'!$A$6:$A$89,"&lt;="&amp;DATE(2026,9,30))</f>
        <v>17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ngày'!G6:G89,'Social — theo ngày'!$A$6:$A$89,"&gt;="&amp;DATE(2026,7,1),'Social — theo ngày'!$A$6:$A$89,"&lt;="&amp;DATE(2026,7,31))</f>
        <v>275</v>
      </c>
      <c r="C12" s="16" t="n">
        <f aca="false">SUMIFS('Social — theo ngày'!G6:G89,'Social — theo ngày'!$A$6:$A$89,"&gt;="&amp;DATE(2026,8,1),'Social — theo ngày'!$A$6:$A$89,"&lt;="&amp;DATE(2026,8,31))</f>
        <v>387</v>
      </c>
      <c r="D12" s="16" t="n">
        <f aca="false">SUMIFS('Social — theo ngày'!G6:G89,'Social — theo ngày'!$A$6:$A$89,"&gt;="&amp;DATE(2026,9,1),'Social — theo ngày'!$A$6:$A$89,"&lt;="&amp;DATE(2026,9,30))</f>
        <v>155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ngày'!H6:H89,'Social — theo ngày'!$A$6:$A$89,"&gt;="&amp;DATE(2026,7,1),'Social — theo ngày'!$A$6:$A$89,"&lt;="&amp;DATE(2026,7,31))</f>
        <v>869</v>
      </c>
      <c r="C13" s="16" t="n">
        <f aca="false">SUMIFS('Social — theo ngày'!H6:H89,'Social — theo ngày'!$A$6:$A$89,"&gt;="&amp;DATE(2026,8,1),'Social — theo ngày'!$A$6:$A$89,"&lt;="&amp;DATE(2026,8,31))</f>
        <v>1161</v>
      </c>
      <c r="D13" s="16" t="n">
        <f aca="false">SUMIFS('Social — theo ngày'!H6:H89,'Social — theo ngày'!$A$6:$A$89,"&gt;="&amp;DATE(2026,9,1),'Social — theo ngày'!$A$6:$A$89,"&lt;="&amp;DATE(2026,9,30))</f>
        <v>2220</v>
      </c>
    </row>
    <row r="15" customFormat="false" ht="15" hidden="false" customHeight="false" outlineLevel="0" collapsed="false">
      <c r="A15" s="23" t="s">
        <v>92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ngày'!B52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ngày'!C52</f>
        <v>144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ngày'!D52</f>
        <v>4483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ngày'!E52</f>
        <v>445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ngày'!F52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ngày'!G52</f>
        <v>18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ngày'!H52</f>
        <v>87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ngày'!I52</f>
        <v>2320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ngày'!J52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ngày'!K52</f>
        <v>1232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ngày'!L52</f>
        <v>27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ngày'!M52</f>
        <v>43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ngày'!N52</f>
        <v>4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ngày'!O52</f>
        <v>634</v>
      </c>
    </row>
    <row r="32" customFormat="false" ht="15" hidden="false" customHeight="false" outlineLevel="0" collapsed="false">
      <c r="A32" s="23" t="s">
        <v>93</v>
      </c>
    </row>
    <row r="33" customFormat="false" ht="15" hidden="false" customHeight="false" outlineLevel="0" collapsed="false">
      <c r="A33" s="13" t="s">
        <v>88</v>
      </c>
      <c r="B33" s="21" t="s">
        <v>94</v>
      </c>
      <c r="C33" s="21" t="s">
        <v>89</v>
      </c>
      <c r="D33" s="21" t="s">
        <v>90</v>
      </c>
      <c r="E33" s="21" t="s">
        <v>91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SEO!B52</f>
        <v>17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SEO!C52</f>
        <v>745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SEO!D52</f>
        <v>709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SEO!E52</f>
        <v>33.88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SEO!F52</f>
        <v>3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SEO!G52</f>
        <v>552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SEO!H52</f>
        <v>392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SEO!I52</f>
        <v>31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SEO!J52</f>
        <v>3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SEO!K52</f>
        <v>1039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SEO!L52</f>
        <v>26.6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SEO!M52</f>
        <v>78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SEO!N52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SEO!O52</f>
        <v>334</v>
      </c>
    </row>
    <row r="49" customFormat="false" ht="15" hidden="false" customHeight="false" outlineLevel="0" collapsed="false">
      <c r="A49" s="23" t="s">
        <v>95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Audit!B49</f>
        <v>92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Audit!C49</f>
        <v>95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Audit!D49</f>
        <v>94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Audit!E49</f>
        <v>92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Audit!F49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Audit!G49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Audit!H49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Audit!I49</f>
        <v>92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Audit!J49</f>
        <v>334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Audit!K49</f>
        <v>268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Audit!L49</f>
        <v>239577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2026-09-28T00:36:48Z</dcterms:created>
  <dc:creator>openpyxl</dc:creator>
  <dc:description/>
  <dc:language>en-US</dc:language>
  <cp:lastModifiedBy/>
  <dcterms:modified xsi:type="dcterms:W3CDTF">2026-09-28T00:36:48Z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